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George Maranville\Documents\"/>
    </mc:Choice>
  </mc:AlternateContent>
  <xr:revisionPtr revIDLastSave="0" documentId="8_{8B287D66-226C-4A08-A4EE-05DABF4F17FB}" xr6:coauthVersionLast="47" xr6:coauthVersionMax="47" xr10:uidLastSave="{00000000-0000-0000-0000-000000000000}"/>
  <workbookProtection workbookAlgorithmName="SHA-512" workbookHashValue="xBffMffaygZaz5POP7O+0flTfH8O9mS+GIcEK1Hzk3kFJHvZ3fyot6H8Ae491qVqtbF60NqkxcobklDFaXD2dw==" workbookSaltValue="eT3h9ezyBBLzS6JejB02pw==" workbookSpinCount="100000" lockStructure="1"/>
  <bookViews>
    <workbookView xWindow="-120" yWindow="-120" windowWidth="29040" windowHeight="15720" tabRatio="786" firstSheet="1" activeTab="7" xr2:uid="{00000000-000D-0000-FFFF-FFFF00000000}"/>
  </bookViews>
  <sheets>
    <sheet name="Drops" sheetId="28" state="hidden" r:id="rId1"/>
    <sheet name="Instructions" sheetId="29" r:id="rId2"/>
    <sheet name="Goals" sheetId="27" r:id="rId3"/>
    <sheet name="Pipeline" sheetId="9" r:id="rId4"/>
    <sheet name="TOP 20 Customers" sheetId="23" r:id="rId5"/>
    <sheet name="Last Week Next Week" sheetId="26" state="hidden" r:id="rId6"/>
    <sheet name="Delivery " sheetId="24" r:id="rId7"/>
    <sheet name="Business Development" sheetId="2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27" l="1" a="1"/>
  <c r="D16" i="27" s="1"/>
  <c r="D5" i="27" a="1"/>
  <c r="D5" i="27" s="1"/>
  <c r="A16" i="27" a="1"/>
  <c r="A16" i="27" s="1"/>
  <c r="A5" i="27" a="1"/>
  <c r="A5" i="27" s="1"/>
  <c r="A75" i="25" a="1"/>
  <c r="A75" i="25" s="1"/>
  <c r="A66" i="25" a="1"/>
  <c r="A66" i="25" s="1"/>
  <c r="A55" i="25" a="1"/>
  <c r="A55" i="25" s="1"/>
  <c r="A46" i="25" a="1"/>
  <c r="A46" i="25" s="1"/>
  <c r="A35" i="25" a="1"/>
  <c r="A35" i="25" s="1"/>
  <c r="A26" i="25" a="1"/>
  <c r="A26" i="25" s="1"/>
  <c r="A6" i="25" a="1"/>
  <c r="A6" i="25" s="1"/>
  <c r="A15" i="25" a="1"/>
  <c r="A15" i="25" s="1"/>
  <c r="E3" i="9" l="1"/>
  <c r="E2" i="9"/>
  <c r="E1" i="9"/>
  <c r="G3" i="9"/>
  <c r="G2" i="9"/>
  <c r="G1" i="9"/>
  <c r="G4" i="9" l="1"/>
  <c r="E4"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<sst xmlns="http://schemas.openxmlformats.org/spreadsheetml/2006/main" count="209" uniqueCount="108">
  <si>
    <t>Client</t>
  </si>
  <si>
    <t>Position</t>
  </si>
  <si>
    <t>Manager</t>
  </si>
  <si>
    <t># Positions</t>
  </si>
  <si>
    <t>Spread</t>
  </si>
  <si>
    <t>Total</t>
  </si>
  <si>
    <t>2 WEEKS</t>
  </si>
  <si>
    <t xml:space="preserve">Start </t>
  </si>
  <si>
    <t>4 WEEKS</t>
  </si>
  <si>
    <t xml:space="preserve">Company </t>
  </si>
  <si>
    <t>Name</t>
  </si>
  <si>
    <t xml:space="preserve">Relationship Level </t>
  </si>
  <si>
    <t>Title</t>
  </si>
  <si>
    <t xml:space="preserve">Current Spread </t>
  </si>
  <si>
    <t xml:space="preserve">Upcoming Initiatives </t>
  </si>
  <si>
    <t xml:space="preserve">Customer </t>
  </si>
  <si>
    <t>PENDING</t>
  </si>
  <si>
    <t>Status</t>
  </si>
  <si>
    <t>PRIME TECHNICAL SERVICES PIPELINE</t>
  </si>
  <si>
    <t>Appointment</t>
  </si>
  <si>
    <t>Client Visit</t>
  </si>
  <si>
    <t>Lunch</t>
  </si>
  <si>
    <t>OOO</t>
  </si>
  <si>
    <t>Test</t>
  </si>
  <si>
    <t>Personal Goals</t>
  </si>
  <si>
    <t>Top 20 Customers</t>
  </si>
  <si>
    <t>Delivery</t>
  </si>
  <si>
    <t>Business Development</t>
  </si>
  <si>
    <t>Why Top 20?</t>
  </si>
  <si>
    <t>Customer (Manager)</t>
  </si>
  <si>
    <t># Submittals</t>
  </si>
  <si>
    <t>Interviews</t>
  </si>
  <si>
    <t>Offer Accepts</t>
  </si>
  <si>
    <t>Other</t>
  </si>
  <si>
    <t>Primary 1  (Program)</t>
  </si>
  <si>
    <t>New Meetings Last Week</t>
  </si>
  <si>
    <t>New Meetings this Week</t>
  </si>
  <si>
    <t>Tier I</t>
  </si>
  <si>
    <t>Customer</t>
  </si>
  <si>
    <t>Manager Name</t>
  </si>
  <si>
    <t>Takeaways</t>
  </si>
  <si>
    <t>Day &amp; Time of Meeting</t>
  </si>
  <si>
    <t>Manager Title</t>
  </si>
  <si>
    <t>Tier 2.5</t>
  </si>
  <si>
    <t>Last Meeting/Next Meeting Date</t>
  </si>
  <si>
    <t>a</t>
  </si>
  <si>
    <t>Tier III</t>
  </si>
  <si>
    <t>Primary 2  (Program)</t>
  </si>
  <si>
    <t>Primary 3  (Program)</t>
  </si>
  <si>
    <t>Tier II</t>
  </si>
  <si>
    <t>Account Manager Weekly Report - Instructions and Explanation</t>
  </si>
  <si>
    <t xml:space="preserve">Top 20 </t>
  </si>
  <si>
    <t xml:space="preserve">Pipeline </t>
  </si>
  <si>
    <t xml:space="preserve">Goals </t>
  </si>
  <si>
    <t xml:space="preserve">Delivery </t>
  </si>
  <si>
    <t xml:space="preserve">Business Development </t>
  </si>
  <si>
    <t xml:space="preserve">This report is intended to help guide you through the sales process and provide a real time snapshot of your current book of business.  We fundementally believe that everyone can be sucessful by following three key principles (identifying good targets, </t>
  </si>
  <si>
    <t xml:space="preserve">The biggest opportunity cost we have is our time.  Spending time on customers that cannot help you reach your goals takes away time from finding customers that can.  </t>
  </si>
  <si>
    <t xml:space="preserve">taking customers through the proper sales process and managing delivery).  This will report will ensure your Director is able to provide objective and educated guidance in order to help you be successful and hit your goals. </t>
  </si>
  <si>
    <t>Success is inevitable….work hard…..stay organized…..be curious….help others…..we are in this together!!!</t>
  </si>
  <si>
    <t xml:space="preserve">"If you aim at nothing, you will hit it every time" </t>
  </si>
  <si>
    <t xml:space="preserve">Goal setting is foundational to what we do.  Goals help us create roadmaps, provide focus, allow us to measure progress and ultimately hold us accountable </t>
  </si>
  <si>
    <t xml:space="preserve">It is important to set short term and long term professional and personal goals.  Some personal goals should motivate you to hit your professional goals. </t>
  </si>
  <si>
    <t xml:space="preserve">- Examples of short term personal goals (moving out of your parents house, taking a certain vacation, completing a physical challenge)  </t>
  </si>
  <si>
    <t xml:space="preserve">- Examples of long term personal goals (paying off student debt, buying a house, marriage/kids) </t>
  </si>
  <si>
    <t xml:space="preserve">- Examples of short term professional goals (hitting contest, hitting a certain spread number, breaking a certain program/account)  </t>
  </si>
  <si>
    <t xml:space="preserve">- Examples of long term professional goals (getting promoted, running an account, opening an office) </t>
  </si>
  <si>
    <t xml:space="preserve">Use the goals tab to put pen to paper and write out your long term and short term goals (both personal and professional).  Hold yourself accountable to these goals and ask that others hold you accountable as well. </t>
  </si>
  <si>
    <t xml:space="preserve">The Pipeline tab is where you keep track of everyone you have in pending and the open business you have with your customers. </t>
  </si>
  <si>
    <t xml:space="preserve">- "Pending" is everyone you have in active onboarding, when they are slated to go to work, what is still needed prior to them beginning work and what the spread is for those indviduals </t>
  </si>
  <si>
    <t>The goal is to always be moving these reqs up the chain.  Making "B" reqs "A" reqs and closing "A" reqs to build out your pending.</t>
  </si>
  <si>
    <t xml:space="preserve">This is the most important tab in this document.  Your top 20 is where 95% of your spread will come from.  The contests you win and the programs you break will all be made possible by the relationships you have with the managers in your top 20 </t>
  </si>
  <si>
    <t xml:space="preserve">they have no influence in the hiring decision making process, you drop.  Everyone you "build" with gets added to your top 20 and you take them through our sales cycle (appointment, client visit, lunch, OOC).  Once you have a completed top 20, the BD doesn't  </t>
  </si>
  <si>
    <t xml:space="preserve">stop.  You are now evaluating every new customer you are engaging with and determining if they are worth adding someone to your top 20 and kicking the "20th" person off the list. </t>
  </si>
  <si>
    <t xml:space="preserve">One question should be asked at the end of every meeting.  Do I build with this customer or drop this customer?  If they are a user of our service and anticipate needing to use our service over the next 6 months, you build.  If our service is foreign to them or </t>
  </si>
  <si>
    <t xml:space="preserve">- Identifying 20 customers you can have one contractor with will get you above contest (20 starts @ $600/contractor = 12k) </t>
  </si>
  <si>
    <t xml:space="preserve">- Understanding your relationshiop level with each individual in your top 20 will give you an idea of where you stand with them (OOC is the goal for everyone. If a manager will not grab lunch or get drinks with you, you are just a vendor to them) </t>
  </si>
  <si>
    <t xml:space="preserve">- Most top 20 customers should have bi-weekly touchpoints.  Ones with active reqs should have daily touchpoints.  Bi-weekly touchpoints with 20 managers = 10 reoccuring meetings every week </t>
  </si>
  <si>
    <t xml:space="preserve">- Don't get complacent.  You should always be doing business development and seeking new opportunities.  Your 21st best customer could be in a new AM's top 5.  This is how we grow. </t>
  </si>
  <si>
    <t xml:space="preserve">This is where you will document every single submittal you sent to your customer the prior week and what those submittals translated into.  You will start to notice which customers/programs you are having the most success with and which customers need the   </t>
  </si>
  <si>
    <t xml:space="preserve">most work.  How many submittals translated into interviews and ultimately into offers.  This will help guide decisions around where your delivery team should be focusing their efforts (quick moving business) and what you can be doing to improve processes with  </t>
  </si>
  <si>
    <t>slow moving customers</t>
  </si>
  <si>
    <t xml:space="preserve">- Make sure you are grouping all subs into specific customers/programs </t>
  </si>
  <si>
    <t xml:space="preserve">- Prioritize the time of your delivery team on business that is moving and can close quickly </t>
  </si>
  <si>
    <t xml:space="preserve">- Leverage the success you are having with certain customers to help improve processes with customers that aren't producing the same results </t>
  </si>
  <si>
    <t>This is where you will document the new meetings you had last week and the new meetings you have setup for the current week.  You do not need to type your entire sales notes for the new meetings last week.  Simply list the company name, manager name,</t>
  </si>
  <si>
    <t xml:space="preserve">job title and where they are a build or drop.  You and your Director will spend time talking about the "builds", ensuring they having been added to top 20 and what the nex steps need to be to take them through our sales process </t>
  </si>
  <si>
    <t xml:space="preserve">- Tier 1 = customers we have over 20k with </t>
  </si>
  <si>
    <t xml:space="preserve">- Tier 2 = customers we have active contractors with but are below 20k in total account spread </t>
  </si>
  <si>
    <t xml:space="preserve">- Tier 2.5 = companies we have or have had agreements in place with but we have no active contractors </t>
  </si>
  <si>
    <t xml:space="preserve">- Tier 3 = true account breakers.  We don't have and have never had an agreement with these companies </t>
  </si>
  <si>
    <t>Goals</t>
  </si>
  <si>
    <t>Professional Goals</t>
  </si>
  <si>
    <t>Short-Term</t>
  </si>
  <si>
    <t>Long-Term</t>
  </si>
  <si>
    <t>- "2 Weeks" is for all reqs expected CLOSE in the next two weeks. CLOSE means "offer and accepted" with a start date in two weeks.</t>
  </si>
  <si>
    <t>- "4 Weeks" is for reqs expected to close within four weeks and not something we need to focus on. This will help us plan for hiring surges and when we are pipelining candidates while working the "2 Week Pipeline"</t>
  </si>
  <si>
    <t>sd</t>
  </si>
  <si>
    <t>GDIT ISEE</t>
  </si>
  <si>
    <t>Robyn Moses</t>
  </si>
  <si>
    <t>Deputy PM</t>
  </si>
  <si>
    <t xml:space="preserve">Pending CIS RFP; Waiting on final extension funding #s. </t>
  </si>
  <si>
    <t>Peraton</t>
  </si>
  <si>
    <t>Matt Reda</t>
  </si>
  <si>
    <t>Task Order 7/3 Lead</t>
  </si>
  <si>
    <t>Can leverage his CIA contacts if we get an introduction</t>
  </si>
  <si>
    <t>GDIT DCGS</t>
  </si>
  <si>
    <t>Craig Lindahl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</si>
</sst>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00;\-00;\-;@"/>
    <numFmt numFmtId="165" formatCode="0&quot;.&quot;"/>
  </numFmts>
  <fonts count="23" x14ac:knownFonts="1">
    <font>
      <sz val="11"/>
      <color theme="1"/>
      <name val="Calibri"/>
      <family val="2"/>
      <scheme val="minor"/>
    </font>
    <font>
      <b/>
      <sz val="16"/>
      <color theme="1"/>
      <name val="Calibri"/>
      <family val="2"/>
      <scheme val="minor"/>
    </font>
    <font>
      <sz val="11"/>
      <color theme="1"/>
      <name val="Calibri"/>
      <family val="2"/>
      <scheme val="minor"/>
    </font>
    <font>
      <sz val="11"/>
      <color rgb="FF000000"/>
      <name val="Calibri"/>
      <family val="2"/>
    </font>
    <font>
      <sz val="11"/>
      <color rgb="FF000000"/>
      <name val="Calibri"/>
      <family val="2"/>
    </font>
    <font>
      <sz val="12"/>
      <color theme="1"/>
      <name val="Calibri"/>
      <family val="2"/>
      <scheme val="minor"/>
    </font>
    <font>
      <sz val="11"/>
      <color indexed="8"/>
      <name val="Calibri"/>
      <family val="2"/>
      <scheme val="minor"/>
    </font>
    <font>
      <sz val="10"/>
      <name val="Arial"/>
      <family val="2"/>
    </font>
    <font>
      <b/>
      <u/>
      <sz val="11"/>
      <color theme="1"/>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2"/>
      <name val="Calibri"/>
      <family val="2"/>
      <scheme val="minor"/>
    </font>
    <font>
      <sz val="11"/>
      <name val="Calibri"/>
      <family val="2"/>
      <scheme val="minor"/>
    </font>
    <font>
      <b/>
      <u/>
      <sz val="11"/>
      <name val="Calibri"/>
      <family val="2"/>
      <scheme val="minor"/>
    </font>
    <font>
      <b/>
      <sz val="16"/>
      <color theme="0"/>
      <name val="Calibri"/>
      <family val="2"/>
      <scheme val="minor"/>
    </font>
    <font>
      <b/>
      <i/>
      <sz val="10"/>
      <name val="Calibri"/>
      <family val="2"/>
      <scheme val="minor"/>
    </font>
    <font>
      <b/>
      <i/>
      <sz val="16"/>
      <color theme="0"/>
      <name val="Calibri"/>
      <family val="2"/>
      <scheme val="minor"/>
    </font>
    <font>
      <i/>
      <sz val="11"/>
      <color theme="1"/>
      <name val="Calibri"/>
      <family val="2"/>
      <scheme val="minor"/>
    </font>
    <font>
      <b/>
      <sz val="10"/>
      <name val="Calibri"/>
      <family val="2"/>
      <scheme val="minor"/>
    </font>
    <font>
      <b/>
      <sz val="12"/>
      <color theme="0"/>
      <name val="Calibri"/>
      <family val="2"/>
      <scheme val="minor"/>
    </font>
    <font>
      <sz val="10"/>
      <color theme="1"/>
      <name val="Calibri"/>
      <family val="2"/>
      <scheme val="minor"/>
    </font>
    <font>
      <b/>
      <sz val="11"/>
      <name val="Calibri"/>
      <family val="2"/>
      <scheme val="minor"/>
    </font>
  </fonts>
  <fills count="20">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002060"/>
        <bgColor indexed="64"/>
      </patternFill>
    </fill>
    <fill>
      <patternFill patternType="solid">
        <fgColor theme="9" tint="0.79998168889431442"/>
        <bgColor indexed="64"/>
      </patternFill>
    </fill>
    <fill>
      <patternFill patternType="solid">
        <fgColor theme="9" tint="0.79998168889431442"/>
        <bgColor theme="1"/>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79998168889431442"/>
        <bgColor theme="1"/>
      </patternFill>
    </fill>
    <fill>
      <patternFill patternType="solid">
        <fgColor theme="7" tint="0.39997558519241921"/>
        <bgColor indexed="64"/>
      </patternFill>
    </fill>
    <fill>
      <patternFill patternType="solid">
        <fgColor theme="8" tint="0.79998168889431442"/>
        <bgColor indexed="64"/>
      </patternFill>
    </fill>
    <fill>
      <patternFill patternType="solid">
        <fgColor theme="8" tint="0.79998168889431442"/>
        <bgColor theme="1"/>
      </patternFill>
    </fill>
    <fill>
      <patternFill patternType="solid">
        <fgColor theme="8"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5" tint="0.79998168889431442"/>
        <bgColor theme="1"/>
      </patternFill>
    </fill>
    <fill>
      <patternFill patternType="solid">
        <fgColor theme="8" tint="-0.499984740745262"/>
        <bgColor indexed="64"/>
      </patternFill>
    </fill>
  </fills>
  <borders count="2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15">
    <xf numFmtId="0" fontId="0" fillId="0" borderId="0"/>
    <xf numFmtId="0" fontId="3" fillId="0" borderId="0"/>
    <xf numFmtId="0" fontId="4" fillId="0" borderId="0"/>
    <xf numFmtId="0" fontId="4" fillId="0" borderId="0"/>
    <xf numFmtId="0" fontId="5" fillId="0" borderId="0"/>
    <xf numFmtId="0" fontId="6" fillId="0" borderId="0"/>
    <xf numFmtId="0" fontId="2" fillId="0" borderId="0"/>
    <xf numFmtId="44" fontId="2" fillId="0" borderId="0" applyFont="0" applyFill="0" applyBorder="0" applyAlignment="0" applyProtection="0"/>
    <xf numFmtId="0" fontId="7" fillId="0" borderId="0"/>
    <xf numFmtId="0" fontId="2" fillId="0" borderId="0"/>
    <xf numFmtId="44" fontId="2" fillId="0" borderId="0" applyFont="0" applyFill="0" applyBorder="0" applyAlignment="0" applyProtection="0"/>
    <xf numFmtId="0" fontId="5" fillId="0" borderId="0"/>
    <xf numFmtId="0" fontId="4" fillId="0" borderId="0"/>
    <xf numFmtId="44" fontId="6" fillId="0" borderId="0" applyFont="0" applyFill="0" applyBorder="0" applyAlignment="0" applyProtection="0"/>
    <xf numFmtId="43" fontId="6" fillId="0" borderId="0" applyFont="0" applyFill="0" applyBorder="0" applyAlignment="0" applyProtection="0"/>
  </cellStyleXfs>
  <cellXfs count="195">
    <xf numFmtId="0" fontId="0" fillId="0" borderId="0" xfId="0"/>
    <xf numFmtId="0" fontId="0" fillId="0" borderId="0" xfId="0" applyAlignment="1">
      <alignment horizontal="left"/>
    </xf>
    <xf numFmtId="0" fontId="2" fillId="0" borderId="0" xfId="0" applyFont="1" applyAlignment="1">
      <alignment horizontal="left"/>
    </xf>
    <xf numFmtId="0" fontId="11" fillId="0" borderId="0" xfId="0" applyFont="1"/>
    <xf numFmtId="6" fontId="0" fillId="0" borderId="4" xfId="0" applyNumberFormat="1" applyBorder="1" applyAlignment="1">
      <alignment horizontal="right"/>
    </xf>
    <xf numFmtId="6" fontId="0" fillId="0" borderId="6" xfId="0" applyNumberFormat="1" applyBorder="1" applyAlignment="1">
      <alignment horizontal="right"/>
    </xf>
    <xf numFmtId="6" fontId="0" fillId="0" borderId="8" xfId="0" applyNumberFormat="1" applyBorder="1" applyAlignment="1">
      <alignment horizontal="right"/>
    </xf>
    <xf numFmtId="0" fontId="9" fillId="0" borderId="9" xfId="0" applyFont="1" applyBorder="1"/>
    <xf numFmtId="6" fontId="9" fillId="0" borderId="11" xfId="0" applyNumberFormat="1" applyFont="1" applyBorder="1"/>
    <xf numFmtId="0" fontId="0" fillId="0" borderId="3"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9" fillId="0" borderId="10" xfId="0" applyFont="1" applyBorder="1" applyAlignment="1">
      <alignment horizontal="center"/>
    </xf>
    <xf numFmtId="0" fontId="0" fillId="2" borderId="2" xfId="0" applyFill="1" applyBorder="1"/>
    <xf numFmtId="0" fontId="0" fillId="3" borderId="5" xfId="0" applyFill="1" applyBorder="1"/>
    <xf numFmtId="0" fontId="0" fillId="4" borderId="7" xfId="0" applyFill="1" applyBorder="1"/>
    <xf numFmtId="0" fontId="8" fillId="0" borderId="0" xfId="0" applyFont="1" applyAlignment="1">
      <alignment horizontal="center"/>
    </xf>
    <xf numFmtId="0" fontId="0" fillId="0" borderId="0" xfId="0" applyProtection="1">
      <protection locked="0"/>
    </xf>
    <xf numFmtId="0" fontId="1" fillId="0" borderId="0" xfId="0" applyFont="1" applyAlignment="1" applyProtection="1">
      <alignment horizontal="center"/>
      <protection locked="0"/>
    </xf>
    <xf numFmtId="0" fontId="13" fillId="6" borderId="0" xfId="0" applyFont="1" applyFill="1"/>
    <xf numFmtId="0" fontId="12" fillId="6" borderId="0" xfId="0" applyFont="1" applyFill="1"/>
    <xf numFmtId="0" fontId="12" fillId="9" borderId="0" xfId="0" applyFont="1" applyFill="1"/>
    <xf numFmtId="0" fontId="13" fillId="9" borderId="0" xfId="0" applyFont="1" applyFill="1"/>
    <xf numFmtId="0" fontId="12" fillId="12" borderId="0" xfId="0" applyFont="1" applyFill="1"/>
    <xf numFmtId="0" fontId="13" fillId="12" borderId="0" xfId="0" applyFont="1" applyFill="1"/>
    <xf numFmtId="0" fontId="9" fillId="6" borderId="15" xfId="0" applyFont="1" applyFill="1" applyBorder="1" applyAlignment="1">
      <alignment horizontal="center"/>
    </xf>
    <xf numFmtId="0" fontId="9" fillId="6" borderId="16" xfId="0" applyFont="1" applyFill="1" applyBorder="1" applyAlignment="1">
      <alignment horizontal="center"/>
    </xf>
    <xf numFmtId="0" fontId="14" fillId="7" borderId="23" xfId="0" applyFont="1" applyFill="1" applyBorder="1" applyAlignment="1">
      <alignment horizontal="center"/>
    </xf>
    <xf numFmtId="0" fontId="13" fillId="6" borderId="24" xfId="0" applyFont="1" applyFill="1" applyBorder="1" applyProtection="1">
      <protection locked="0"/>
    </xf>
    <xf numFmtId="0" fontId="13" fillId="6" borderId="18" xfId="0" applyFont="1" applyFill="1" applyBorder="1" applyProtection="1">
      <protection locked="0"/>
    </xf>
    <xf numFmtId="0" fontId="13" fillId="6" borderId="16" xfId="0" applyFont="1" applyFill="1" applyBorder="1" applyProtection="1">
      <protection locked="0"/>
    </xf>
    <xf numFmtId="0" fontId="14" fillId="10" borderId="23" xfId="0" applyFont="1" applyFill="1" applyBorder="1" applyAlignment="1">
      <alignment horizontal="center"/>
    </xf>
    <xf numFmtId="0" fontId="13" fillId="9" borderId="24" xfId="0" applyFont="1" applyFill="1" applyBorder="1" applyProtection="1">
      <protection locked="0"/>
    </xf>
    <xf numFmtId="0" fontId="13" fillId="9" borderId="18" xfId="0" applyFont="1" applyFill="1" applyBorder="1" applyProtection="1">
      <protection locked="0"/>
    </xf>
    <xf numFmtId="0" fontId="13" fillId="9" borderId="16" xfId="0" applyFont="1" applyFill="1" applyBorder="1" applyProtection="1">
      <protection locked="0"/>
    </xf>
    <xf numFmtId="0" fontId="14" fillId="13" borderId="23" xfId="0" applyFont="1" applyFill="1" applyBorder="1" applyAlignment="1">
      <alignment horizontal="center"/>
    </xf>
    <xf numFmtId="0" fontId="13" fillId="12" borderId="24" xfId="0" applyFont="1" applyFill="1" applyBorder="1" applyProtection="1">
      <protection locked="0"/>
    </xf>
    <xf numFmtId="0" fontId="13" fillId="12" borderId="18" xfId="0" applyFont="1" applyFill="1" applyBorder="1" applyProtection="1">
      <protection locked="0"/>
    </xf>
    <xf numFmtId="0" fontId="13" fillId="12" borderId="16" xfId="0" applyFont="1" applyFill="1" applyBorder="1" applyProtection="1">
      <protection locked="0"/>
    </xf>
    <xf numFmtId="0" fontId="0" fillId="14" borderId="2" xfId="0" applyFill="1" applyBorder="1"/>
    <xf numFmtId="0" fontId="1" fillId="14" borderId="3" xfId="0" applyFont="1" applyFill="1" applyBorder="1"/>
    <xf numFmtId="0" fontId="0" fillId="14" borderId="3" xfId="0" applyFill="1" applyBorder="1"/>
    <xf numFmtId="0" fontId="0" fillId="14" borderId="4" xfId="0" applyFill="1" applyBorder="1"/>
    <xf numFmtId="0" fontId="13" fillId="12" borderId="5" xfId="0" applyFont="1" applyFill="1" applyBorder="1"/>
    <xf numFmtId="0" fontId="13" fillId="12" borderId="6" xfId="0" applyFont="1" applyFill="1" applyBorder="1"/>
    <xf numFmtId="0" fontId="14" fillId="13" borderId="25" xfId="0" applyFont="1" applyFill="1" applyBorder="1" applyAlignment="1">
      <alignment horizontal="center"/>
    </xf>
    <xf numFmtId="165" fontId="13" fillId="12" borderId="5" xfId="0" applyNumberFormat="1" applyFont="1" applyFill="1" applyBorder="1" applyAlignment="1">
      <alignment horizontal="left"/>
    </xf>
    <xf numFmtId="0" fontId="13" fillId="12" borderId="26" xfId="0" applyFont="1" applyFill="1" applyBorder="1" applyProtection="1">
      <protection locked="0"/>
    </xf>
    <xf numFmtId="0" fontId="13" fillId="12" borderId="19" xfId="0" applyFont="1" applyFill="1" applyBorder="1" applyProtection="1">
      <protection locked="0"/>
    </xf>
    <xf numFmtId="0" fontId="13" fillId="12" borderId="27" xfId="0" applyFont="1" applyFill="1" applyBorder="1" applyProtection="1">
      <protection locked="0"/>
    </xf>
    <xf numFmtId="165" fontId="13" fillId="12" borderId="9" xfId="0" applyNumberFormat="1" applyFont="1" applyFill="1" applyBorder="1" applyAlignment="1">
      <alignment horizontal="left"/>
    </xf>
    <xf numFmtId="0" fontId="13" fillId="12" borderId="21" xfId="0" applyFont="1" applyFill="1" applyBorder="1" applyProtection="1">
      <protection locked="0"/>
    </xf>
    <xf numFmtId="0" fontId="13" fillId="12" borderId="22" xfId="0" applyFont="1" applyFill="1" applyBorder="1" applyProtection="1">
      <protection locked="0"/>
    </xf>
    <xf numFmtId="0" fontId="0" fillId="11" borderId="2" xfId="0" applyFill="1" applyBorder="1"/>
    <xf numFmtId="0" fontId="1" fillId="11" borderId="3" xfId="0" applyFont="1" applyFill="1" applyBorder="1"/>
    <xf numFmtId="0" fontId="0" fillId="11" borderId="3" xfId="0" applyFill="1" applyBorder="1"/>
    <xf numFmtId="0" fontId="0" fillId="11" borderId="4" xfId="0" applyFill="1" applyBorder="1"/>
    <xf numFmtId="0" fontId="13" fillId="9" borderId="5" xfId="0" applyFont="1" applyFill="1" applyBorder="1"/>
    <xf numFmtId="0" fontId="13" fillId="9" borderId="6" xfId="0" applyFont="1" applyFill="1" applyBorder="1"/>
    <xf numFmtId="0" fontId="14" fillId="10" borderId="25" xfId="0" applyFont="1" applyFill="1" applyBorder="1" applyAlignment="1">
      <alignment horizontal="center"/>
    </xf>
    <xf numFmtId="165" fontId="13" fillId="9" borderId="5" xfId="0" applyNumberFormat="1" applyFont="1" applyFill="1" applyBorder="1" applyAlignment="1">
      <alignment horizontal="left"/>
    </xf>
    <xf numFmtId="0" fontId="13" fillId="9" borderId="26" xfId="0" applyFont="1" applyFill="1" applyBorder="1" applyProtection="1">
      <protection locked="0"/>
    </xf>
    <xf numFmtId="0" fontId="13" fillId="9" borderId="19" xfId="0" applyFont="1" applyFill="1" applyBorder="1" applyProtection="1">
      <protection locked="0"/>
    </xf>
    <xf numFmtId="0" fontId="13" fillId="9" borderId="27" xfId="0" applyFont="1" applyFill="1" applyBorder="1" applyProtection="1">
      <protection locked="0"/>
    </xf>
    <xf numFmtId="165" fontId="13" fillId="9" borderId="9" xfId="0" applyNumberFormat="1" applyFont="1" applyFill="1" applyBorder="1" applyAlignment="1">
      <alignment horizontal="left"/>
    </xf>
    <xf numFmtId="0" fontId="13" fillId="9" borderId="21" xfId="0" applyFont="1" applyFill="1" applyBorder="1" applyProtection="1">
      <protection locked="0"/>
    </xf>
    <xf numFmtId="0" fontId="13" fillId="9" borderId="22" xfId="0" applyFont="1" applyFill="1" applyBorder="1" applyProtection="1">
      <protection locked="0"/>
    </xf>
    <xf numFmtId="0" fontId="0" fillId="8" borderId="2" xfId="0" applyFill="1" applyBorder="1"/>
    <xf numFmtId="0" fontId="1" fillId="8" borderId="3" xfId="0" applyFont="1" applyFill="1" applyBorder="1"/>
    <xf numFmtId="0" fontId="0" fillId="8" borderId="3" xfId="0" applyFill="1" applyBorder="1"/>
    <xf numFmtId="0" fontId="0" fillId="8" borderId="4" xfId="0" applyFill="1" applyBorder="1"/>
    <xf numFmtId="0" fontId="13" fillId="6" borderId="5" xfId="0" applyFont="1" applyFill="1" applyBorder="1"/>
    <xf numFmtId="0" fontId="13" fillId="6" borderId="6" xfId="0" applyFont="1" applyFill="1" applyBorder="1"/>
    <xf numFmtId="0" fontId="14" fillId="7" borderId="25" xfId="0" applyFont="1" applyFill="1" applyBorder="1" applyAlignment="1">
      <alignment horizontal="center"/>
    </xf>
    <xf numFmtId="165" fontId="13" fillId="6" borderId="5" xfId="0" applyNumberFormat="1" applyFont="1" applyFill="1" applyBorder="1" applyAlignment="1">
      <alignment horizontal="left"/>
    </xf>
    <xf numFmtId="0" fontId="13" fillId="6" borderId="26" xfId="0" applyFont="1" applyFill="1" applyBorder="1" applyProtection="1">
      <protection locked="0"/>
    </xf>
    <xf numFmtId="0" fontId="13" fillId="6" borderId="19" xfId="0" applyFont="1" applyFill="1" applyBorder="1" applyProtection="1">
      <protection locked="0"/>
    </xf>
    <xf numFmtId="0" fontId="13" fillId="6" borderId="27" xfId="0" applyFont="1" applyFill="1" applyBorder="1" applyProtection="1">
      <protection locked="0"/>
    </xf>
    <xf numFmtId="165" fontId="13" fillId="6" borderId="9" xfId="0" applyNumberFormat="1" applyFont="1" applyFill="1" applyBorder="1" applyAlignment="1">
      <alignment horizontal="left"/>
    </xf>
    <xf numFmtId="0" fontId="13" fillId="6" borderId="21" xfId="0" applyFont="1" applyFill="1" applyBorder="1" applyProtection="1">
      <protection locked="0"/>
    </xf>
    <xf numFmtId="0" fontId="13" fillId="6" borderId="22" xfId="0" applyFont="1" applyFill="1" applyBorder="1" applyProtection="1">
      <protection locked="0"/>
    </xf>
    <xf numFmtId="0" fontId="9" fillId="6" borderId="27" xfId="0" applyFont="1" applyFill="1" applyBorder="1" applyAlignment="1">
      <alignment horizontal="center"/>
    </xf>
    <xf numFmtId="0" fontId="13" fillId="0" borderId="0" xfId="0" applyFont="1"/>
    <xf numFmtId="0" fontId="9" fillId="9" borderId="15" xfId="0" applyFont="1" applyFill="1" applyBorder="1" applyAlignment="1">
      <alignment horizontal="center"/>
    </xf>
    <xf numFmtId="0" fontId="9" fillId="9" borderId="16" xfId="0" applyFont="1" applyFill="1" applyBorder="1" applyAlignment="1">
      <alignment horizontal="center"/>
    </xf>
    <xf numFmtId="0" fontId="9" fillId="9" borderId="27" xfId="0" applyFont="1" applyFill="1" applyBorder="1" applyAlignment="1">
      <alignment horizontal="center"/>
    </xf>
    <xf numFmtId="0" fontId="9" fillId="12" borderId="15" xfId="0" applyFont="1" applyFill="1" applyBorder="1" applyAlignment="1">
      <alignment horizontal="center"/>
    </xf>
    <xf numFmtId="0" fontId="9" fillId="12" borderId="16" xfId="0" applyFont="1" applyFill="1" applyBorder="1" applyAlignment="1">
      <alignment horizontal="center"/>
    </xf>
    <xf numFmtId="0" fontId="9" fillId="12" borderId="27" xfId="0" applyFont="1" applyFill="1" applyBorder="1" applyAlignment="1">
      <alignment horizontal="center"/>
    </xf>
    <xf numFmtId="0" fontId="9" fillId="15" borderId="15" xfId="0" applyFont="1" applyFill="1" applyBorder="1" applyAlignment="1">
      <alignment horizontal="center"/>
    </xf>
    <xf numFmtId="0" fontId="9" fillId="15" borderId="16" xfId="0" applyFont="1" applyFill="1" applyBorder="1" applyAlignment="1">
      <alignment horizontal="center"/>
    </xf>
    <xf numFmtId="0" fontId="9" fillId="15" borderId="27" xfId="0" applyFont="1" applyFill="1" applyBorder="1" applyAlignment="1">
      <alignment horizontal="center"/>
    </xf>
    <xf numFmtId="0" fontId="0" fillId="6" borderId="17" xfId="0" applyFill="1" applyBorder="1" applyProtection="1">
      <protection locked="0"/>
    </xf>
    <xf numFmtId="0" fontId="0" fillId="6" borderId="18" xfId="0" applyFill="1" applyBorder="1" applyAlignment="1" applyProtection="1">
      <alignment horizontal="left"/>
      <protection locked="0"/>
    </xf>
    <xf numFmtId="0" fontId="0" fillId="6" borderId="6" xfId="0" applyFill="1" applyBorder="1" applyAlignment="1" applyProtection="1">
      <alignment horizontal="left"/>
      <protection locked="0"/>
    </xf>
    <xf numFmtId="0" fontId="0" fillId="9" borderId="17" xfId="0" applyFill="1" applyBorder="1" applyProtection="1">
      <protection locked="0"/>
    </xf>
    <xf numFmtId="0" fontId="0" fillId="9" borderId="18" xfId="0" applyFill="1" applyBorder="1" applyAlignment="1" applyProtection="1">
      <alignment horizontal="left"/>
      <protection locked="0"/>
    </xf>
    <xf numFmtId="0" fontId="0" fillId="9" borderId="6" xfId="0" applyFill="1" applyBorder="1" applyAlignment="1" applyProtection="1">
      <alignment horizontal="left"/>
      <protection locked="0"/>
    </xf>
    <xf numFmtId="0" fontId="0" fillId="12" borderId="17" xfId="0" applyFill="1" applyBorder="1" applyProtection="1">
      <protection locked="0"/>
    </xf>
    <xf numFmtId="0" fontId="0" fillId="12" borderId="18" xfId="0" applyFill="1" applyBorder="1" applyAlignment="1" applyProtection="1">
      <alignment horizontal="left"/>
      <protection locked="0"/>
    </xf>
    <xf numFmtId="0" fontId="0" fillId="12" borderId="6" xfId="0" applyFill="1" applyBorder="1" applyAlignment="1" applyProtection="1">
      <alignment horizontal="left"/>
      <protection locked="0"/>
    </xf>
    <xf numFmtId="0" fontId="0" fillId="15" borderId="17" xfId="0" applyFill="1" applyBorder="1" applyProtection="1">
      <protection locked="0"/>
    </xf>
    <xf numFmtId="0" fontId="0" fillId="15" borderId="18" xfId="0" applyFill="1" applyBorder="1" applyAlignment="1" applyProtection="1">
      <alignment horizontal="left"/>
      <protection locked="0"/>
    </xf>
    <xf numFmtId="0" fontId="0" fillId="15" borderId="6" xfId="0" applyFill="1" applyBorder="1" applyAlignment="1" applyProtection="1">
      <alignment horizontal="left"/>
      <protection locked="0"/>
    </xf>
    <xf numFmtId="0" fontId="0" fillId="6" borderId="20" xfId="0" applyFill="1" applyBorder="1" applyProtection="1">
      <protection locked="0"/>
    </xf>
    <xf numFmtId="0" fontId="0" fillId="6" borderId="21" xfId="0" applyFill="1" applyBorder="1" applyAlignment="1" applyProtection="1">
      <alignment horizontal="left"/>
      <protection locked="0"/>
    </xf>
    <xf numFmtId="0" fontId="0" fillId="6" borderId="11" xfId="0" applyFill="1" applyBorder="1" applyAlignment="1" applyProtection="1">
      <alignment horizontal="left"/>
      <protection locked="0"/>
    </xf>
    <xf numFmtId="0" fontId="0" fillId="9" borderId="20" xfId="0" applyFill="1" applyBorder="1" applyProtection="1">
      <protection locked="0"/>
    </xf>
    <xf numFmtId="0" fontId="0" fillId="9" borderId="21" xfId="0" applyFill="1" applyBorder="1" applyAlignment="1" applyProtection="1">
      <alignment horizontal="left"/>
      <protection locked="0"/>
    </xf>
    <xf numFmtId="0" fontId="0" fillId="9" borderId="11" xfId="0" applyFill="1" applyBorder="1" applyAlignment="1" applyProtection="1">
      <alignment horizontal="left"/>
      <protection locked="0"/>
    </xf>
    <xf numFmtId="0" fontId="0" fillId="12" borderId="20" xfId="0" applyFill="1" applyBorder="1" applyProtection="1">
      <protection locked="0"/>
    </xf>
    <xf numFmtId="0" fontId="0" fillId="12" borderId="21" xfId="0" applyFill="1" applyBorder="1" applyAlignment="1" applyProtection="1">
      <alignment horizontal="left"/>
      <protection locked="0"/>
    </xf>
    <xf numFmtId="0" fontId="0" fillId="12" borderId="11" xfId="0" applyFill="1" applyBorder="1" applyAlignment="1" applyProtection="1">
      <alignment horizontal="left"/>
      <protection locked="0"/>
    </xf>
    <xf numFmtId="0" fontId="0" fillId="15" borderId="20" xfId="0" applyFill="1" applyBorder="1" applyProtection="1">
      <protection locked="0"/>
    </xf>
    <xf numFmtId="0" fontId="0" fillId="15" borderId="21" xfId="0" applyFill="1" applyBorder="1" applyAlignment="1" applyProtection="1">
      <alignment horizontal="left"/>
      <protection locked="0"/>
    </xf>
    <xf numFmtId="0" fontId="0" fillId="15" borderId="11" xfId="0" applyFill="1" applyBorder="1" applyAlignment="1" applyProtection="1">
      <alignment horizontal="left"/>
      <protection locked="0"/>
    </xf>
    <xf numFmtId="0" fontId="15" fillId="5" borderId="0" xfId="0" applyFont="1" applyFill="1" applyAlignment="1">
      <alignment vertical="center"/>
    </xf>
    <xf numFmtId="0" fontId="15" fillId="5" borderId="0" xfId="0" applyFont="1" applyFill="1"/>
    <xf numFmtId="0" fontId="0" fillId="5" borderId="0" xfId="0" applyFill="1"/>
    <xf numFmtId="0" fontId="16" fillId="0" borderId="0" xfId="0" applyFont="1" applyAlignment="1">
      <alignment vertical="center"/>
    </xf>
    <xf numFmtId="0" fontId="17" fillId="0" borderId="0" xfId="0" applyFont="1"/>
    <xf numFmtId="0" fontId="15" fillId="0" borderId="0" xfId="0" applyFont="1"/>
    <xf numFmtId="0" fontId="18" fillId="0" borderId="0" xfId="0" applyFont="1"/>
    <xf numFmtId="0" fontId="19" fillId="0" borderId="0" xfId="0" applyFont="1" applyAlignment="1">
      <alignment vertical="center"/>
    </xf>
    <xf numFmtId="0" fontId="20" fillId="17" borderId="0" xfId="0" applyFont="1" applyFill="1"/>
    <xf numFmtId="0" fontId="0" fillId="17" borderId="0" xfId="0" applyFill="1"/>
    <xf numFmtId="0" fontId="20" fillId="0" borderId="0" xfId="0" applyFont="1"/>
    <xf numFmtId="0" fontId="0" fillId="0" borderId="0" xfId="0" quotePrefix="1"/>
    <xf numFmtId="0" fontId="9" fillId="0" borderId="0" xfId="0" applyFont="1" applyAlignment="1">
      <alignment vertical="top"/>
    </xf>
    <xf numFmtId="0" fontId="0" fillId="0" borderId="0" xfId="0" applyAlignment="1">
      <alignment vertical="center"/>
    </xf>
    <xf numFmtId="0" fontId="9" fillId="0" borderId="0" xfId="0" applyFont="1"/>
    <xf numFmtId="0" fontId="0" fillId="16" borderId="2" xfId="0" applyFill="1" applyBorder="1"/>
    <xf numFmtId="0" fontId="1" fillId="16" borderId="3" xfId="0" applyFont="1" applyFill="1" applyBorder="1"/>
    <xf numFmtId="0" fontId="0" fillId="16" borderId="3" xfId="0" applyFill="1" applyBorder="1"/>
    <xf numFmtId="0" fontId="0" fillId="16" borderId="4" xfId="0" applyFill="1" applyBorder="1"/>
    <xf numFmtId="0" fontId="13" fillId="15" borderId="5" xfId="0" applyFont="1" applyFill="1" applyBorder="1"/>
    <xf numFmtId="0" fontId="12" fillId="15" borderId="0" xfId="0" applyFont="1" applyFill="1"/>
    <xf numFmtId="0" fontId="13" fillId="15" borderId="0" xfId="0" applyFont="1" applyFill="1"/>
    <xf numFmtId="0" fontId="13" fillId="15" borderId="6" xfId="0" applyFont="1" applyFill="1" applyBorder="1"/>
    <xf numFmtId="0" fontId="14" fillId="18" borderId="23" xfId="0" applyFont="1" applyFill="1" applyBorder="1" applyAlignment="1">
      <alignment horizontal="center"/>
    </xf>
    <xf numFmtId="0" fontId="14" fillId="18" borderId="25" xfId="0" applyFont="1" applyFill="1" applyBorder="1" applyAlignment="1">
      <alignment horizontal="center"/>
    </xf>
    <xf numFmtId="165" fontId="13" fillId="15" borderId="5" xfId="0" applyNumberFormat="1" applyFont="1" applyFill="1" applyBorder="1" applyAlignment="1">
      <alignment horizontal="left"/>
    </xf>
    <xf numFmtId="0" fontId="13" fillId="15" borderId="24" xfId="0" applyFont="1" applyFill="1" applyBorder="1" applyProtection="1">
      <protection locked="0"/>
    </xf>
    <xf numFmtId="0" fontId="13" fillId="15" borderId="26" xfId="0" applyFont="1" applyFill="1" applyBorder="1" applyProtection="1">
      <protection locked="0"/>
    </xf>
    <xf numFmtId="0" fontId="13" fillId="15" borderId="18" xfId="0" applyFont="1" applyFill="1" applyBorder="1" applyProtection="1">
      <protection locked="0"/>
    </xf>
    <xf numFmtId="0" fontId="13" fillId="15" borderId="19" xfId="0" applyFont="1" applyFill="1" applyBorder="1" applyProtection="1">
      <protection locked="0"/>
    </xf>
    <xf numFmtId="0" fontId="13" fillId="15" borderId="16" xfId="0" applyFont="1" applyFill="1" applyBorder="1" applyProtection="1">
      <protection locked="0"/>
    </xf>
    <xf numFmtId="0" fontId="13" fillId="15" borderId="27" xfId="0" applyFont="1" applyFill="1" applyBorder="1" applyProtection="1">
      <protection locked="0"/>
    </xf>
    <xf numFmtId="165" fontId="13" fillId="15" borderId="9" xfId="0" applyNumberFormat="1" applyFont="1" applyFill="1" applyBorder="1" applyAlignment="1">
      <alignment horizontal="left"/>
    </xf>
    <xf numFmtId="0" fontId="13" fillId="15" borderId="21" xfId="0" applyFont="1" applyFill="1" applyBorder="1" applyProtection="1">
      <protection locked="0"/>
    </xf>
    <xf numFmtId="0" fontId="13" fillId="15" borderId="22" xfId="0" applyFont="1" applyFill="1" applyBorder="1" applyProtection="1">
      <protection locked="0"/>
    </xf>
    <xf numFmtId="0" fontId="16" fillId="0" borderId="0" xfId="0" applyFont="1"/>
    <xf numFmtId="0" fontId="0" fillId="6" borderId="0" xfId="0" applyFill="1" applyProtection="1">
      <protection locked="0"/>
    </xf>
    <xf numFmtId="0" fontId="0" fillId="12" borderId="0" xfId="0" applyFill="1" applyProtection="1">
      <protection locked="0"/>
    </xf>
    <xf numFmtId="0" fontId="0" fillId="9" borderId="0" xfId="0" applyFill="1" applyProtection="1">
      <protection locked="0"/>
    </xf>
    <xf numFmtId="0" fontId="0" fillId="15" borderId="0" xfId="0" applyFill="1" applyProtection="1">
      <protection locked="0"/>
    </xf>
    <xf numFmtId="0" fontId="10" fillId="19" borderId="0" xfId="0" applyFont="1" applyFill="1"/>
    <xf numFmtId="0" fontId="10" fillId="0" borderId="0" xfId="0" applyFont="1"/>
    <xf numFmtId="0" fontId="9" fillId="19" borderId="0" xfId="0" applyFont="1" applyFill="1"/>
    <xf numFmtId="0" fontId="22" fillId="8" borderId="0" xfId="0" applyFont="1" applyFill="1"/>
    <xf numFmtId="0" fontId="22" fillId="0" borderId="0" xfId="0" applyFont="1"/>
    <xf numFmtId="0" fontId="22" fillId="14" borderId="0" xfId="0" applyFont="1" applyFill="1"/>
    <xf numFmtId="165" fontId="21" fillId="6" borderId="0" xfId="0" applyNumberFormat="1" applyFont="1" applyFill="1" applyAlignment="1">
      <alignment horizontal="left"/>
    </xf>
    <xf numFmtId="165" fontId="21" fillId="12" borderId="0" xfId="0" applyNumberFormat="1" applyFont="1" applyFill="1" applyAlignment="1">
      <alignment horizontal="left"/>
    </xf>
    <xf numFmtId="165" fontId="21" fillId="9" borderId="0" xfId="0" applyNumberFormat="1" applyFont="1" applyFill="1" applyAlignment="1">
      <alignment horizontal="left"/>
    </xf>
    <xf numFmtId="165" fontId="21" fillId="15" borderId="0" xfId="0" applyNumberFormat="1" applyFont="1" applyFill="1" applyAlignment="1">
      <alignment horizontal="left"/>
    </xf>
    <xf numFmtId="0" fontId="22" fillId="0" borderId="0" xfId="0" applyFont="1" applyProtection="1">
      <protection locked="0"/>
    </xf>
    <xf numFmtId="0" fontId="22" fillId="11" borderId="0" xfId="0" applyFont="1" applyFill="1" applyProtection="1">
      <protection locked="0"/>
    </xf>
    <xf numFmtId="0" fontId="22" fillId="16" borderId="0" xfId="0" applyFont="1" applyFill="1" applyProtection="1">
      <protection locked="0"/>
    </xf>
    <xf numFmtId="165" fontId="0" fillId="0" borderId="0" xfId="0" applyNumberFormat="1" applyAlignment="1" applyProtection="1">
      <alignment horizontal="left"/>
      <protection locked="0"/>
    </xf>
    <xf numFmtId="164" fontId="0" fillId="0" borderId="0" xfId="0" applyNumberFormat="1" applyProtection="1">
      <protection locked="0"/>
    </xf>
    <xf numFmtId="0" fontId="15" fillId="19" borderId="0" xfId="0" applyFont="1" applyFill="1"/>
    <xf numFmtId="165" fontId="15" fillId="19" borderId="0" xfId="0" applyNumberFormat="1" applyFont="1" applyFill="1" applyAlignment="1">
      <alignment horizontal="left"/>
    </xf>
    <xf numFmtId="0" fontId="12" fillId="14" borderId="0" xfId="0" applyFont="1" applyFill="1" applyAlignment="1">
      <alignment horizontal="left" indent="1"/>
    </xf>
    <xf numFmtId="0" fontId="12" fillId="8" borderId="0" xfId="0" applyFont="1" applyFill="1" applyAlignment="1">
      <alignment horizontal="left" indent="1"/>
    </xf>
    <xf numFmtId="0" fontId="12" fillId="16" borderId="0" xfId="0" applyFont="1" applyFill="1" applyAlignment="1">
      <alignment horizontal="left" indent="1"/>
    </xf>
    <xf numFmtId="0" fontId="12" fillId="11" borderId="0" xfId="0" applyFont="1" applyFill="1" applyAlignment="1">
      <alignment horizontal="left" indent="1"/>
    </xf>
    <xf numFmtId="3" fontId="0" fillId="0" borderId="0" xfId="0" applyNumberFormat="1"/>
    <xf numFmtId="16" fontId="0" fillId="0" borderId="0" xfId="0" applyNumberFormat="1" applyAlignment="1" applyProtection="1">
      <alignment horizontal="center"/>
      <protection locked="0"/>
    </xf>
    <xf numFmtId="0" fontId="0" fillId="0" borderId="0" xfId="0" applyAlignment="1" applyProtection="1">
      <alignment horizontal="left"/>
      <protection locked="0"/>
    </xf>
    <xf numFmtId="0" fontId="0" fillId="0" borderId="0" xfId="0" applyAlignment="1" applyProtection="1">
      <alignment horizontal="center"/>
      <protection locked="0"/>
    </xf>
    <xf numFmtId="14" fontId="0" fillId="0" borderId="0" xfId="0" applyNumberFormat="1" applyAlignment="1" applyProtection="1">
      <alignment horizontal="center"/>
      <protection locked="0"/>
    </xf>
    <xf numFmtId="6" fontId="0" fillId="0" borderId="0" xfId="0" applyNumberFormat="1" applyAlignment="1" applyProtection="1">
      <alignment horizontal="right"/>
      <protection locked="0"/>
    </xf>
    <xf numFmtId="0" fontId="12" fillId="14" borderId="12" xfId="0" applyFont="1" applyFill="1" applyBorder="1" applyAlignment="1" applyProtection="1">
      <alignment horizontal="center"/>
      <protection locked="0"/>
    </xf>
    <xf numFmtId="0" fontId="12" fillId="14" borderId="13" xfId="0" applyFont="1" applyFill="1" applyBorder="1" applyAlignment="1" applyProtection="1">
      <alignment horizontal="center"/>
      <protection locked="0"/>
    </xf>
    <xf numFmtId="0" fontId="12" fillId="14" borderId="14" xfId="0" applyFont="1" applyFill="1" applyBorder="1" applyAlignment="1" applyProtection="1">
      <alignment horizontal="center"/>
      <protection locked="0"/>
    </xf>
    <xf numFmtId="0" fontId="12" fillId="16" borderId="12" xfId="0" applyFont="1" applyFill="1" applyBorder="1" applyAlignment="1" applyProtection="1">
      <alignment horizontal="center"/>
      <protection locked="0"/>
    </xf>
    <xf numFmtId="0" fontId="12" fillId="16" borderId="13" xfId="0" applyFont="1" applyFill="1" applyBorder="1" applyAlignment="1" applyProtection="1">
      <alignment horizontal="center"/>
      <protection locked="0"/>
    </xf>
    <xf numFmtId="0" fontId="12" fillId="16" borderId="14" xfId="0" applyFont="1" applyFill="1" applyBorder="1" applyAlignment="1" applyProtection="1">
      <alignment horizontal="center"/>
      <protection locked="0"/>
    </xf>
    <xf numFmtId="0" fontId="12" fillId="8" borderId="12" xfId="0" applyFont="1" applyFill="1" applyBorder="1" applyAlignment="1" applyProtection="1">
      <alignment horizontal="center"/>
      <protection locked="0"/>
    </xf>
    <xf numFmtId="0" fontId="12" fillId="8" borderId="13" xfId="0" applyFont="1" applyFill="1" applyBorder="1" applyAlignment="1" applyProtection="1">
      <alignment horizontal="center"/>
      <protection locked="0"/>
    </xf>
    <xf numFmtId="0" fontId="12" fillId="8" borderId="14" xfId="0" applyFont="1" applyFill="1" applyBorder="1" applyAlignment="1" applyProtection="1">
      <alignment horizontal="center"/>
      <protection locked="0"/>
    </xf>
    <xf numFmtId="0" fontId="12" fillId="11" borderId="12" xfId="0" applyFont="1" applyFill="1" applyBorder="1" applyAlignment="1" applyProtection="1">
      <alignment horizontal="center"/>
      <protection locked="0"/>
    </xf>
    <xf numFmtId="0" fontId="12" fillId="11" borderId="13" xfId="0" applyFont="1" applyFill="1" applyBorder="1" applyAlignment="1" applyProtection="1">
      <alignment horizontal="center"/>
      <protection locked="0"/>
    </xf>
    <xf numFmtId="0" fontId="12" fillId="11" borderId="14" xfId="0" applyFont="1" applyFill="1" applyBorder="1" applyAlignment="1" applyProtection="1">
      <alignment horizontal="center"/>
      <protection locked="0"/>
    </xf>
  </cellXfs>
  <cellStyles count="15">
    <cellStyle name="Comma 2" xfId="14" xr:uid="{CE89E518-1495-4AF3-9DE7-8DF584F128FA}"/>
    <cellStyle name="Currency 2" xfId="7" xr:uid="{17B26E7F-526D-4123-9AE7-DD7973714109}"/>
    <cellStyle name="Currency 3" xfId="10" xr:uid="{B1F86D11-212C-466B-8A2F-F34CCE52B479}"/>
    <cellStyle name="Currency 4" xfId="13" xr:uid="{DA6143B3-029B-4A80-B799-3F8ABFCD5C74}"/>
    <cellStyle name="Normal" xfId="0" builtinId="0"/>
    <cellStyle name="Normal 2" xfId="1" xr:uid="{C765226E-A149-4EA7-82D1-20A566F556D1}"/>
    <cellStyle name="Normal 2 2" xfId="3" xr:uid="{16FB1D4F-8FEC-42C1-9D21-7A6B3DD09E96}"/>
    <cellStyle name="Normal 2 2 2" xfId="8" xr:uid="{20D1E9A0-A681-4CB4-A8B1-7867678012DE}"/>
    <cellStyle name="Normal 2 3" xfId="12" xr:uid="{693CCBEA-925D-4580-9FF8-51FC803CA784}"/>
    <cellStyle name="Normal 2 4" xfId="5" xr:uid="{F335854A-74FD-44A8-AFDC-CAD74FCAC093}"/>
    <cellStyle name="Normal 3" xfId="2" xr:uid="{04213F7C-677D-400F-8246-0F39013C8087}"/>
    <cellStyle name="Normal 3 2" xfId="6" xr:uid="{E929A7E2-4135-4404-ACEB-642DEB220B58}"/>
    <cellStyle name="Normal 4" xfId="4" xr:uid="{FE004BEB-3668-4581-B5DF-2617E60D45D3}"/>
    <cellStyle name="Normal 4 2" xfId="9" xr:uid="{C578D9A0-9798-4315-9276-A7759C5EB231}"/>
    <cellStyle name="Normal 5" xfId="11" xr:uid="{A4ECE6EB-2E50-44AB-9ECC-CDE5F98BBA65}"/>
  </cellStyles>
  <dxfs count="39">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0" formatCode="&quot;$&quot;#,##0_);[Red]\(&quot;$&quot;#,##0\)"/>
      <alignment horizontal="right" vertical="bottom" textRotation="0" wrapText="0" indent="0" justifyLastLine="0" shrinkToFit="0" readingOrder="0"/>
      <protection locked="0" hidden="0"/>
    </dxf>
    <dxf>
      <font>
        <b val="0"/>
        <strike val="0"/>
        <outline val="0"/>
        <shadow val="0"/>
        <u val="none"/>
        <vertAlign val="baseline"/>
        <sz val="11"/>
        <color theme="1"/>
        <name val="Calibri"/>
        <family val="2"/>
        <scheme val="minor"/>
      </font>
      <numFmt numFmtId="19" formatCode="m/d/yyyy"/>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protection locked="0" hidden="0"/>
    </dxf>
    <dxf>
      <font>
        <b val="0"/>
        <strike val="0"/>
        <outline val="0"/>
        <shadow val="0"/>
        <u val="none"/>
        <vertAlign val="baseline"/>
        <sz val="11"/>
        <color theme="1"/>
        <name val="Calibri"/>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protection locked="0" hidden="0"/>
    </dxf>
    <dxf>
      <font>
        <b val="0"/>
        <strike val="0"/>
        <outline val="0"/>
        <shadow val="0"/>
        <u val="none"/>
        <vertAlign val="baseline"/>
        <sz val="11"/>
        <color theme="1"/>
        <name val="Calibri"/>
        <family val="2"/>
        <scheme val="minor"/>
      </font>
      <numFmt numFmtId="21" formatCode="d\-mmm"/>
      <alignment horizontal="center" vertical="bottom" textRotation="0" wrapText="0" indent="0" justifyLastLine="0" shrinkToFit="0" readingOrder="0"/>
      <protection locked="0" hidden="0"/>
    </dxf>
    <dxf>
      <font>
        <b val="0"/>
        <strike val="0"/>
        <outline val="0"/>
        <shadow val="0"/>
        <u val="none"/>
        <vertAlign val="baseline"/>
        <sz val="11"/>
        <color theme="1"/>
        <name val="Calibri"/>
        <family val="2"/>
        <scheme val="minor"/>
      </font>
      <alignment horizontal="center" vertical="bottom" textRotation="0" wrapText="0" indent="0" justifyLastLine="0" shrinkToFit="0" readingOrder="0"/>
      <protection locked="0" hidden="0"/>
    </dxf>
    <dxf>
      <fill>
        <patternFill patternType="solid">
          <fgColor rgb="FFFFE699"/>
          <bgColor rgb="FF000000"/>
        </patternFill>
      </fill>
    </dxf>
    <dxf>
      <fill>
        <patternFill patternType="solid">
          <fgColor rgb="FFC6E0B4"/>
          <bgColor rgb="FF000000"/>
        </patternFill>
      </fill>
    </dxf>
    <dxf>
      <font>
        <b val="0"/>
        <strike val="0"/>
        <outline val="0"/>
        <shadow val="0"/>
        <u val="none"/>
        <vertAlign val="baseline"/>
        <sz val="11"/>
        <color theme="1"/>
        <name val="Calibri"/>
        <family val="2"/>
        <scheme val="minor"/>
      </font>
      <protection locked="0" hidden="0"/>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protection locked="0" hidden="0"/>
    </dxf>
  </dxfs>
  <tableStyles count="0" defaultTableStyle="TableStyleMedium2" defaultPivotStyle="PivotStyleLight16"/>
  <colors>
    <mruColors>
      <color rgb="FF0039AC"/>
      <color rgb="FF438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A8C9C9-684D-4A8F-840C-29EEA03FFA87}" name="Table1" displayName="Table1" ref="A6:G56" totalsRowShown="0" headerRowDxfId="38" dataDxfId="37">
  <autoFilter ref="A6:G56" xr:uid="{86A8C9C9-684D-4A8F-840C-29EEA03FFA87}"/>
  <sortState xmlns:xlrd2="http://schemas.microsoft.com/office/spreadsheetml/2017/richdata2" ref="A7:G40">
    <sortCondition sortBy="cellColor" ref="A7:A40" dxfId="36"/>
    <sortCondition sortBy="cellColor" ref="A7:A40" dxfId="35"/>
  </sortState>
  <tableColumns count="7">
    <tableColumn id="1" xr3:uid="{A02EBB2E-52C6-450E-83F7-486FA0CFAEAE}" name="Status" dataDxfId="34"/>
    <tableColumn id="2" xr3:uid="{8C636870-5129-41FD-A6DD-3984C5896714}" name="Client" dataDxfId="33"/>
    <tableColumn id="3" xr3:uid="{78D436CB-343E-4CDF-A7C2-B6F03F95F43D}" name="Position" dataDxfId="32"/>
    <tableColumn id="4" xr3:uid="{5F6D61B8-81D0-4463-A477-A1583E378030}" name="Manager" dataDxfId="31"/>
    <tableColumn id="5" xr3:uid="{92E9AEA6-34C3-4586-92F1-DB5F5081ADB0}" name="# Positions" dataDxfId="30"/>
    <tableColumn id="6" xr3:uid="{0FE5DDE5-70DE-45D5-892C-AA3C28FB0007}" name="Start " dataDxfId="29"/>
    <tableColumn id="7" xr3:uid="{D4F1AC3C-BC48-4E76-A275-DAE372B7C56C}" name="Spread" dataDxfId="2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9647FA-3DE0-49A5-B486-6C89EA86E0F5}" name="Table2" displayName="Table2" ref="A3:H21" totalsRowShown="0" headerRowDxfId="27" dataDxfId="26">
  <autoFilter ref="A3:H21" xr:uid="{9A9647FA-3DE0-49A5-B486-6C89EA86E0F5}"/>
  <tableColumns count="8">
    <tableColumn id="1" xr3:uid="{EAD7553D-18F9-462C-8523-E6BD46083C05}" name="Company " dataDxfId="25"/>
    <tableColumn id="2" xr3:uid="{CBC918C0-B6CB-4C5A-8109-77C4934A9A58}" name="Name" dataDxfId="24"/>
    <tableColumn id="3" xr3:uid="{7DDA28AD-269E-4947-A889-11E2E5E25108}" name="Title" dataDxfId="23"/>
    <tableColumn id="4" xr3:uid="{86C5F411-FB60-4EB2-AF94-A60839C39FD1}" name="Relationship Level " dataDxfId="22"/>
    <tableColumn id="5" xr3:uid="{FC9FEF5A-6E7F-4E42-A855-59249E6BF1FA}" name="Current Spread " dataDxfId="21"/>
    <tableColumn id="6" xr3:uid="{05CAC003-9897-4F83-83C4-44D1F8354CC5}" name="Upcoming Initiatives " dataDxfId="20"/>
    <tableColumn id="7" xr3:uid="{9BFCA85F-4300-4525-9CD0-6C586CC3FEAB}" name="Why Top 20?" dataDxfId="19"/>
    <tableColumn id="8" xr3:uid="{11578B91-562D-457C-A180-73A8B3245C35}" name="Last Meeting/Next Meeting Date" dataDxfId="1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0A41-18E0-4CC3-90A9-7D039D2069A4}">
  <dimension ref="A1:C4"/>
  <sheetViews>
    <sheetView workbookViewId="0">
      <selection activeCell="C1" sqref="C1:C4"/>
    </sheetView>
  </sheetViews>
  <sheetFormatPr defaultRowHeight="15" x14ac:dyDescent="0.25"/>
  <sheetData>
    <row r="1" spans="1:3" x14ac:dyDescent="0.25">
      <c r="A1" t="s">
        <v>16</v>
      </c>
      <c r="C1" t="s">
        <v>19</v>
      </c>
    </row>
    <row r="2" spans="1:3" x14ac:dyDescent="0.25">
      <c r="A2" t="s">
        <v>6</v>
      </c>
      <c r="C2" t="s">
        <v>20</v>
      </c>
    </row>
    <row r="3" spans="1:3" x14ac:dyDescent="0.25">
      <c r="A3" t="s">
        <v>8</v>
      </c>
      <c r="C3" t="s">
        <v>21</v>
      </c>
    </row>
    <row r="4" spans="1:3" x14ac:dyDescent="0.25">
      <c r="C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15C8-B0CC-4594-B964-123396B88603}">
  <dimension ref="A1:W52"/>
  <sheetViews>
    <sheetView showGridLines="0" topLeftCell="A31" workbookViewId="0">
      <selection activeCell="H50" sqref="H50"/>
    </sheetView>
  </sheetViews>
  <sheetFormatPr defaultRowHeight="15" x14ac:dyDescent="0.25"/>
  <cols>
    <col min="1" max="1" width="2.85546875" customWidth="1"/>
  </cols>
  <sheetData>
    <row r="1" spans="1:23" ht="21" x14ac:dyDescent="0.35">
      <c r="A1" s="116" t="s">
        <v>50</v>
      </c>
      <c r="B1" s="117"/>
      <c r="C1" s="117"/>
      <c r="D1" s="117"/>
      <c r="E1" s="117"/>
      <c r="F1" s="117"/>
      <c r="G1" s="117"/>
      <c r="H1" s="118"/>
      <c r="I1" s="118"/>
      <c r="J1" s="118"/>
      <c r="K1" s="118"/>
      <c r="L1" s="118"/>
      <c r="M1" s="118"/>
      <c r="N1" s="118"/>
      <c r="O1" s="118"/>
      <c r="P1" s="118"/>
      <c r="Q1" s="118"/>
      <c r="R1" s="118"/>
      <c r="S1" s="118"/>
      <c r="T1" s="118"/>
      <c r="U1" s="118"/>
      <c r="V1" s="118"/>
      <c r="W1" s="118"/>
    </row>
    <row r="2" spans="1:23" ht="18.600000000000001" customHeight="1" x14ac:dyDescent="0.35">
      <c r="A2" s="119" t="s">
        <v>56</v>
      </c>
      <c r="B2" s="120"/>
      <c r="C2" s="121"/>
      <c r="D2" s="121"/>
      <c r="E2" s="121"/>
      <c r="F2" s="121"/>
      <c r="G2" s="121"/>
    </row>
    <row r="3" spans="1:23" ht="17.45" customHeight="1" x14ac:dyDescent="0.35">
      <c r="A3" s="119" t="s">
        <v>58</v>
      </c>
      <c r="B3" s="120"/>
      <c r="C3" s="121"/>
      <c r="D3" s="121"/>
      <c r="E3" s="121"/>
      <c r="F3" s="121"/>
      <c r="G3" s="121"/>
    </row>
    <row r="4" spans="1:23" ht="21" x14ac:dyDescent="0.35">
      <c r="A4" s="119"/>
      <c r="B4" s="120"/>
      <c r="C4" s="121"/>
      <c r="D4" s="121"/>
      <c r="E4" s="121"/>
      <c r="F4" s="121"/>
      <c r="G4" s="121"/>
    </row>
    <row r="5" spans="1:23" ht="21" x14ac:dyDescent="0.35">
      <c r="A5" s="119" t="s">
        <v>57</v>
      </c>
      <c r="B5" s="120"/>
      <c r="C5" s="121"/>
      <c r="D5" s="121"/>
      <c r="E5" s="121"/>
      <c r="F5" s="121"/>
      <c r="G5" s="121"/>
    </row>
    <row r="6" spans="1:23" x14ac:dyDescent="0.25">
      <c r="A6" s="119" t="s">
        <v>59</v>
      </c>
      <c r="B6" s="122"/>
    </row>
    <row r="7" spans="1:23" x14ac:dyDescent="0.25">
      <c r="A7" s="123"/>
    </row>
    <row r="8" spans="1:23" ht="15.75" x14ac:dyDescent="0.25">
      <c r="A8" s="124" t="s">
        <v>53</v>
      </c>
      <c r="B8" s="125"/>
      <c r="C8" s="125"/>
      <c r="D8" s="125"/>
      <c r="E8" s="125"/>
      <c r="F8" s="125"/>
      <c r="G8" s="125"/>
      <c r="H8" s="125"/>
      <c r="I8" s="125"/>
      <c r="J8" s="125"/>
      <c r="K8" s="125"/>
      <c r="L8" s="125"/>
      <c r="M8" s="125"/>
      <c r="N8" s="125"/>
      <c r="O8" s="125"/>
      <c r="P8" s="125"/>
      <c r="Q8" s="125"/>
      <c r="R8" s="125"/>
      <c r="S8" s="125"/>
      <c r="T8" s="125"/>
      <c r="U8" s="125"/>
      <c r="V8" s="125"/>
      <c r="W8" s="125"/>
    </row>
    <row r="9" spans="1:23" x14ac:dyDescent="0.25">
      <c r="A9" s="151" t="s">
        <v>60</v>
      </c>
    </row>
    <row r="10" spans="1:23" ht="15.75" x14ac:dyDescent="0.25">
      <c r="A10" s="126"/>
    </row>
    <row r="11" spans="1:23" x14ac:dyDescent="0.25">
      <c r="A11" s="123" t="s">
        <v>61</v>
      </c>
    </row>
    <row r="12" spans="1:23" x14ac:dyDescent="0.25">
      <c r="A12" s="123" t="s">
        <v>62</v>
      </c>
    </row>
    <row r="13" spans="1:23" x14ac:dyDescent="0.25">
      <c r="B13" s="127" t="s">
        <v>63</v>
      </c>
    </row>
    <row r="14" spans="1:23" x14ac:dyDescent="0.25">
      <c r="B14" s="127" t="s">
        <v>64</v>
      </c>
    </row>
    <row r="15" spans="1:23" x14ac:dyDescent="0.25">
      <c r="B15" s="127" t="s">
        <v>65</v>
      </c>
      <c r="C15" t="s">
        <v>97</v>
      </c>
    </row>
    <row r="16" spans="1:23" x14ac:dyDescent="0.25">
      <c r="B16" s="127" t="s">
        <v>66</v>
      </c>
    </row>
    <row r="17" spans="1:23" x14ac:dyDescent="0.25">
      <c r="A17" s="128" t="s">
        <v>67</v>
      </c>
      <c r="B17" s="127"/>
    </row>
    <row r="18" spans="1:23" ht="15.75" x14ac:dyDescent="0.25">
      <c r="A18" s="124" t="s">
        <v>52</v>
      </c>
      <c r="B18" s="125"/>
      <c r="C18" s="125"/>
      <c r="D18" s="125"/>
      <c r="E18" s="125"/>
      <c r="F18" s="125"/>
      <c r="G18" s="125"/>
      <c r="H18" s="125"/>
      <c r="I18" s="125"/>
      <c r="J18" s="125"/>
      <c r="K18" s="125"/>
      <c r="L18" s="125"/>
      <c r="M18" s="125"/>
      <c r="N18" s="125"/>
      <c r="O18" s="125"/>
      <c r="P18" s="125"/>
      <c r="Q18" s="125"/>
      <c r="R18" s="125"/>
      <c r="S18" s="125"/>
      <c r="T18" s="125"/>
      <c r="U18" s="125"/>
      <c r="V18" s="125"/>
      <c r="W18" s="125"/>
    </row>
    <row r="20" spans="1:23" x14ac:dyDescent="0.25">
      <c r="A20" s="123" t="s">
        <v>68</v>
      </c>
    </row>
    <row r="21" spans="1:23" x14ac:dyDescent="0.25">
      <c r="B21" s="127" t="s">
        <v>69</v>
      </c>
    </row>
    <row r="22" spans="1:23" x14ac:dyDescent="0.25">
      <c r="B22" s="127" t="s">
        <v>95</v>
      </c>
    </row>
    <row r="23" spans="1:23" x14ac:dyDescent="0.25">
      <c r="B23" s="127" t="s">
        <v>96</v>
      </c>
    </row>
    <row r="24" spans="1:23" x14ac:dyDescent="0.25">
      <c r="A24" s="128" t="s">
        <v>70</v>
      </c>
    </row>
    <row r="25" spans="1:23" ht="15.75" x14ac:dyDescent="0.25">
      <c r="A25" s="124" t="s">
        <v>51</v>
      </c>
      <c r="B25" s="125"/>
      <c r="C25" s="125"/>
      <c r="D25" s="125"/>
      <c r="E25" s="125"/>
      <c r="F25" s="125"/>
      <c r="G25" s="125"/>
      <c r="H25" s="125"/>
      <c r="I25" s="125"/>
      <c r="J25" s="125"/>
      <c r="K25" s="125"/>
      <c r="L25" s="125"/>
      <c r="M25" s="125"/>
      <c r="N25" s="125"/>
      <c r="O25" s="125"/>
      <c r="P25" s="125"/>
      <c r="Q25" s="125"/>
      <c r="R25" s="125"/>
      <c r="S25" s="125"/>
      <c r="T25" s="125"/>
      <c r="U25" s="125"/>
      <c r="V25" s="125"/>
      <c r="W25" s="125"/>
    </row>
    <row r="26" spans="1:23" x14ac:dyDescent="0.25">
      <c r="A26" s="123" t="s">
        <v>71</v>
      </c>
      <c r="B26" s="129"/>
    </row>
    <row r="27" spans="1:23" x14ac:dyDescent="0.25">
      <c r="A27" s="123" t="s">
        <v>74</v>
      </c>
    </row>
    <row r="28" spans="1:23" x14ac:dyDescent="0.25">
      <c r="A28" s="123" t="s">
        <v>72</v>
      </c>
    </row>
    <row r="29" spans="1:23" x14ac:dyDescent="0.25">
      <c r="A29" s="123" t="s">
        <v>73</v>
      </c>
    </row>
    <row r="30" spans="1:23" x14ac:dyDescent="0.25">
      <c r="B30" s="127" t="s">
        <v>75</v>
      </c>
    </row>
    <row r="31" spans="1:23" x14ac:dyDescent="0.25">
      <c r="B31" s="127" t="s">
        <v>76</v>
      </c>
    </row>
    <row r="32" spans="1:23" x14ac:dyDescent="0.25">
      <c r="B32" s="127" t="s">
        <v>77</v>
      </c>
    </row>
    <row r="33" spans="1:23" x14ac:dyDescent="0.25">
      <c r="B33" s="127" t="s">
        <v>78</v>
      </c>
    </row>
    <row r="34" spans="1:23" x14ac:dyDescent="0.25">
      <c r="A34" s="128"/>
      <c r="B34" s="127"/>
    </row>
    <row r="35" spans="1:23" ht="15.75" x14ac:dyDescent="0.25">
      <c r="A35" s="124" t="s">
        <v>54</v>
      </c>
      <c r="B35" s="125"/>
      <c r="C35" s="125"/>
      <c r="D35" s="125"/>
      <c r="E35" s="125"/>
      <c r="F35" s="125"/>
      <c r="G35" s="125"/>
      <c r="H35" s="125"/>
      <c r="I35" s="125"/>
      <c r="J35" s="125"/>
      <c r="K35" s="125"/>
      <c r="L35" s="125"/>
      <c r="M35" s="125"/>
      <c r="N35" s="125"/>
      <c r="O35" s="125"/>
      <c r="P35" s="125"/>
      <c r="Q35" s="125"/>
      <c r="R35" s="125"/>
      <c r="S35" s="125"/>
      <c r="T35" s="125"/>
      <c r="U35" s="125"/>
      <c r="V35" s="125"/>
      <c r="W35" s="125"/>
    </row>
    <row r="37" spans="1:23" x14ac:dyDescent="0.25">
      <c r="A37" s="123" t="s">
        <v>79</v>
      </c>
    </row>
    <row r="38" spans="1:23" x14ac:dyDescent="0.25">
      <c r="A38" s="123" t="s">
        <v>80</v>
      </c>
    </row>
    <row r="39" spans="1:23" x14ac:dyDescent="0.25">
      <c r="A39" s="123" t="s">
        <v>81</v>
      </c>
    </row>
    <row r="40" spans="1:23" x14ac:dyDescent="0.25">
      <c r="B40" s="127" t="s">
        <v>82</v>
      </c>
    </row>
    <row r="41" spans="1:23" x14ac:dyDescent="0.25">
      <c r="B41" s="127" t="s">
        <v>83</v>
      </c>
    </row>
    <row r="42" spans="1:23" x14ac:dyDescent="0.25">
      <c r="B42" s="127" t="s">
        <v>84</v>
      </c>
    </row>
    <row r="43" spans="1:23" x14ac:dyDescent="0.25">
      <c r="A43" s="130"/>
    </row>
    <row r="44" spans="1:23" ht="15.75" x14ac:dyDescent="0.25">
      <c r="A44" s="124" t="s">
        <v>55</v>
      </c>
      <c r="B44" s="125"/>
      <c r="C44" s="125"/>
      <c r="D44" s="125"/>
      <c r="E44" s="125"/>
      <c r="F44" s="125"/>
      <c r="G44" s="125"/>
      <c r="H44" s="125"/>
      <c r="I44" s="125"/>
      <c r="J44" s="125"/>
      <c r="K44" s="125"/>
      <c r="L44" s="125"/>
      <c r="M44" s="125"/>
      <c r="N44" s="125"/>
      <c r="O44" s="125"/>
      <c r="P44" s="125"/>
      <c r="Q44" s="125"/>
      <c r="R44" s="125"/>
      <c r="S44" s="125"/>
      <c r="T44" s="125"/>
      <c r="U44" s="125"/>
      <c r="V44" s="125"/>
      <c r="W44" s="125"/>
    </row>
    <row r="46" spans="1:23" x14ac:dyDescent="0.25">
      <c r="A46" s="123" t="s">
        <v>85</v>
      </c>
    </row>
    <row r="47" spans="1:23" x14ac:dyDescent="0.25">
      <c r="A47" s="123" t="s">
        <v>86</v>
      </c>
    </row>
    <row r="48" spans="1:23" x14ac:dyDescent="0.25">
      <c r="B48" s="127" t="s">
        <v>87</v>
      </c>
    </row>
    <row r="49" spans="1:2" x14ac:dyDescent="0.25">
      <c r="B49" s="127" t="s">
        <v>88</v>
      </c>
    </row>
    <row r="50" spans="1:2" x14ac:dyDescent="0.25">
      <c r="B50" s="127" t="s">
        <v>89</v>
      </c>
    </row>
    <row r="51" spans="1:2" x14ac:dyDescent="0.25">
      <c r="B51" s="127" t="s">
        <v>90</v>
      </c>
    </row>
    <row r="52" spans="1:2" x14ac:dyDescent="0.25">
      <c r="A52" s="1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20827-00B6-4913-9772-DA5B512DD506}">
  <dimension ref="A1:E207"/>
  <sheetViews>
    <sheetView showGridLines="0" zoomScaleNormal="100" workbookViewId="0">
      <selection activeCell="B16" sqref="B16"/>
    </sheetView>
  </sheetViews>
  <sheetFormatPr defaultColWidth="9.140625" defaultRowHeight="15" zeroHeight="1" x14ac:dyDescent="0.25"/>
  <cols>
    <col min="1" max="1" width="3.42578125" style="17" bestFit="1" customWidth="1"/>
    <col min="2" max="2" width="65.7109375" style="17" customWidth="1"/>
    <col min="3" max="3" width="3.42578125" style="17" customWidth="1"/>
    <col min="4" max="4" width="3.42578125" style="17" bestFit="1" customWidth="1"/>
    <col min="5" max="5" width="65.7109375" style="17" customWidth="1"/>
    <col min="6" max="16384" width="9.140625" style="17"/>
  </cols>
  <sheetData>
    <row r="1" spans="1:5" x14ac:dyDescent="0.25">
      <c r="A1"/>
      <c r="B1"/>
      <c r="C1"/>
      <c r="D1"/>
      <c r="E1"/>
    </row>
    <row r="2" spans="1:5" ht="26.25" x14ac:dyDescent="0.4">
      <c r="A2" s="3" t="s">
        <v>91</v>
      </c>
      <c r="B2"/>
      <c r="C2"/>
      <c r="D2"/>
      <c r="E2"/>
    </row>
    <row r="3" spans="1:5" ht="21" x14ac:dyDescent="0.35">
      <c r="A3" s="171" t="s">
        <v>92</v>
      </c>
      <c r="B3" s="156"/>
      <c r="C3" s="157"/>
      <c r="D3" s="172" t="s">
        <v>24</v>
      </c>
      <c r="E3" s="158"/>
    </row>
    <row r="4" spans="1:5" ht="15.75" x14ac:dyDescent="0.25">
      <c r="A4" s="174" t="s">
        <v>93</v>
      </c>
      <c r="B4" s="159"/>
      <c r="C4" s="160"/>
      <c r="D4" s="173" t="s">
        <v>93</v>
      </c>
      <c r="E4" s="161"/>
    </row>
    <row r="5" spans="1:5" x14ac:dyDescent="0.25">
      <c r="A5" s="162" t="str" cm="1">
        <f t="array" ref="A5">IFERROR(_xlfn.SEQUENCE(COUNTA(B5:B14),,1,1),"")</f>
        <v/>
      </c>
      <c r="B5" s="152"/>
      <c r="D5" s="163" t="str" cm="1">
        <f t="array" ref="D5">IFERROR(_xlfn.SEQUENCE(COUNTA(E5:E14),,1,1),"")</f>
        <v/>
      </c>
      <c r="E5" s="153"/>
    </row>
    <row r="6" spans="1:5" x14ac:dyDescent="0.25">
      <c r="A6" s="162"/>
      <c r="B6" s="152"/>
      <c r="D6" s="163"/>
      <c r="E6" s="153"/>
    </row>
    <row r="7" spans="1:5" x14ac:dyDescent="0.25">
      <c r="A7" s="162"/>
      <c r="B7" s="152"/>
      <c r="D7" s="163"/>
      <c r="E7" s="153"/>
    </row>
    <row r="8" spans="1:5" x14ac:dyDescent="0.25">
      <c r="A8" s="162"/>
      <c r="B8" s="152"/>
      <c r="D8" s="163"/>
      <c r="E8" s="153"/>
    </row>
    <row r="9" spans="1:5" x14ac:dyDescent="0.25">
      <c r="A9" s="162"/>
      <c r="B9" s="152"/>
      <c r="D9" s="163"/>
      <c r="E9" s="153"/>
    </row>
    <row r="10" spans="1:5" x14ac:dyDescent="0.25">
      <c r="A10" s="162"/>
      <c r="B10" s="152"/>
      <c r="D10" s="163"/>
      <c r="E10" s="153"/>
    </row>
    <row r="11" spans="1:5" x14ac:dyDescent="0.25">
      <c r="A11" s="162"/>
      <c r="B11" s="152"/>
      <c r="D11" s="163"/>
      <c r="E11" s="153"/>
    </row>
    <row r="12" spans="1:5" x14ac:dyDescent="0.25">
      <c r="A12" s="162"/>
      <c r="B12" s="152"/>
      <c r="D12" s="163"/>
      <c r="E12" s="153"/>
    </row>
    <row r="13" spans="1:5" x14ac:dyDescent="0.25">
      <c r="A13" s="162"/>
      <c r="B13" s="152"/>
      <c r="D13" s="163"/>
      <c r="E13" s="153"/>
    </row>
    <row r="14" spans="1:5" x14ac:dyDescent="0.25">
      <c r="A14" s="162"/>
      <c r="B14" s="152"/>
      <c r="D14" s="163"/>
      <c r="E14" s="153"/>
    </row>
    <row r="15" spans="1:5" ht="15.75" x14ac:dyDescent="0.25">
      <c r="A15" s="176" t="s">
        <v>94</v>
      </c>
      <c r="B15" s="167"/>
      <c r="C15" s="166"/>
      <c r="D15" s="175" t="s">
        <v>94</v>
      </c>
      <c r="E15" s="168"/>
    </row>
    <row r="16" spans="1:5" x14ac:dyDescent="0.25">
      <c r="A16" s="164" t="str" cm="1">
        <f t="array" ref="A16">IFERROR(_xlfn.SEQUENCE(COUNTA(B16:B25),,1,1),"")</f>
        <v/>
      </c>
      <c r="B16" s="154"/>
      <c r="D16" s="165" t="str" cm="1">
        <f t="array" ref="D16">IFERROR(_xlfn.SEQUENCE(COUNTA(E16:E25),,1,1),"")</f>
        <v/>
      </c>
      <c r="E16" s="155"/>
    </row>
    <row r="17" spans="1:5" x14ac:dyDescent="0.25">
      <c r="A17" s="164"/>
      <c r="B17" s="154"/>
      <c r="D17" s="165"/>
      <c r="E17" s="155"/>
    </row>
    <row r="18" spans="1:5" x14ac:dyDescent="0.25">
      <c r="A18" s="164"/>
      <c r="B18" s="154"/>
      <c r="D18" s="165"/>
      <c r="E18" s="155"/>
    </row>
    <row r="19" spans="1:5" x14ac:dyDescent="0.25">
      <c r="A19" s="164"/>
      <c r="B19" s="154"/>
      <c r="D19" s="165"/>
      <c r="E19" s="155"/>
    </row>
    <row r="20" spans="1:5" x14ac:dyDescent="0.25">
      <c r="A20" s="164"/>
      <c r="B20" s="154"/>
      <c r="D20" s="165"/>
      <c r="E20" s="155"/>
    </row>
    <row r="21" spans="1:5" x14ac:dyDescent="0.25">
      <c r="A21" s="164"/>
      <c r="B21" s="154"/>
      <c r="D21" s="165"/>
      <c r="E21" s="155"/>
    </row>
    <row r="22" spans="1:5" x14ac:dyDescent="0.25">
      <c r="A22" s="164"/>
      <c r="B22" s="154"/>
      <c r="D22" s="165"/>
      <c r="E22" s="155"/>
    </row>
    <row r="23" spans="1:5" x14ac:dyDescent="0.25">
      <c r="A23" s="164"/>
      <c r="B23" s="154"/>
      <c r="D23" s="165"/>
      <c r="E23" s="155"/>
    </row>
    <row r="24" spans="1:5" x14ac:dyDescent="0.25">
      <c r="A24" s="164"/>
      <c r="B24" s="154"/>
      <c r="D24" s="165"/>
      <c r="E24" s="155"/>
    </row>
    <row r="25" spans="1:5" x14ac:dyDescent="0.25">
      <c r="A25" s="164"/>
      <c r="B25" s="154"/>
      <c r="D25" s="165"/>
      <c r="E25" s="155"/>
    </row>
    <row r="26" spans="1:5" x14ac:dyDescent="0.25">
      <c r="A26" s="169"/>
    </row>
    <row r="27" spans="1:5" x14ac:dyDescent="0.25">
      <c r="A27" s="169"/>
    </row>
    <row r="28" spans="1:5" x14ac:dyDescent="0.25">
      <c r="A28" s="169"/>
    </row>
    <row r="29" spans="1:5" x14ac:dyDescent="0.25">
      <c r="A29" s="169"/>
    </row>
    <row r="30" spans="1:5" x14ac:dyDescent="0.25">
      <c r="A30" s="169"/>
    </row>
    <row r="31" spans="1:5" x14ac:dyDescent="0.25">
      <c r="A31" s="170"/>
    </row>
    <row r="32" spans="1:5" x14ac:dyDescent="0.25">
      <c r="A32" s="170"/>
    </row>
    <row r="33" spans="1:1" x14ac:dyDescent="0.25">
      <c r="A33" s="170"/>
    </row>
    <row r="34" spans="1:1" x14ac:dyDescent="0.25">
      <c r="A34" s="170"/>
    </row>
    <row r="35" spans="1:1" x14ac:dyDescent="0.25">
      <c r="A35" s="170"/>
    </row>
    <row r="36" spans="1:1" x14ac:dyDescent="0.25">
      <c r="A36" s="170"/>
    </row>
    <row r="37" spans="1:1" x14ac:dyDescent="0.25">
      <c r="A37" s="170"/>
    </row>
    <row r="38" spans="1:1" x14ac:dyDescent="0.25">
      <c r="A38" s="170"/>
    </row>
    <row r="39" spans="1:1" x14ac:dyDescent="0.25">
      <c r="A39" s="170"/>
    </row>
    <row r="40" spans="1:1" x14ac:dyDescent="0.25">
      <c r="A40" s="170"/>
    </row>
    <row r="41" spans="1:1" x14ac:dyDescent="0.25">
      <c r="A41" s="170"/>
    </row>
    <row r="42" spans="1:1" x14ac:dyDescent="0.25">
      <c r="A42" s="170"/>
    </row>
    <row r="43" spans="1:1" x14ac:dyDescent="0.25">
      <c r="A43" s="170"/>
    </row>
    <row r="44" spans="1:1" x14ac:dyDescent="0.25">
      <c r="A44" s="170"/>
    </row>
    <row r="45" spans="1:1" x14ac:dyDescent="0.25">
      <c r="A45" s="170"/>
    </row>
    <row r="46" spans="1:1" x14ac:dyDescent="0.25">
      <c r="A46" s="170"/>
    </row>
    <row r="47" spans="1:1" x14ac:dyDescent="0.25">
      <c r="A47" s="170"/>
    </row>
    <row r="48" spans="1:1" x14ac:dyDescent="0.25">
      <c r="A48" s="170"/>
    </row>
    <row r="49" spans="1:1" x14ac:dyDescent="0.25">
      <c r="A49" s="170"/>
    </row>
    <row r="50" spans="1:1" x14ac:dyDescent="0.25">
      <c r="A50" s="170"/>
    </row>
    <row r="51" spans="1:1" x14ac:dyDescent="0.25">
      <c r="A51" s="170"/>
    </row>
    <row r="52" spans="1:1" x14ac:dyDescent="0.25">
      <c r="A52" s="170"/>
    </row>
    <row r="53" spans="1:1" x14ac:dyDescent="0.25">
      <c r="A53" s="170"/>
    </row>
    <row r="54" spans="1:1" x14ac:dyDescent="0.25">
      <c r="A54" s="170"/>
    </row>
    <row r="55" spans="1:1" x14ac:dyDescent="0.25">
      <c r="A55" s="170"/>
    </row>
    <row r="56" spans="1:1" x14ac:dyDescent="0.25">
      <c r="A56" s="170"/>
    </row>
    <row r="57" spans="1:1" x14ac:dyDescent="0.25">
      <c r="A57" s="170"/>
    </row>
    <row r="58" spans="1:1" x14ac:dyDescent="0.25">
      <c r="A58" s="170"/>
    </row>
    <row r="59" spans="1:1" x14ac:dyDescent="0.25">
      <c r="A59" s="170"/>
    </row>
    <row r="60" spans="1:1" x14ac:dyDescent="0.25">
      <c r="A60" s="170"/>
    </row>
    <row r="61" spans="1:1" x14ac:dyDescent="0.25">
      <c r="A61" s="170"/>
    </row>
    <row r="62" spans="1:1" x14ac:dyDescent="0.25">
      <c r="A62" s="170"/>
    </row>
    <row r="63" spans="1:1" x14ac:dyDescent="0.25">
      <c r="A63" s="170"/>
    </row>
    <row r="64" spans="1:1" x14ac:dyDescent="0.25">
      <c r="A64" s="170"/>
    </row>
    <row r="65" spans="1:1" x14ac:dyDescent="0.25">
      <c r="A65" s="170"/>
    </row>
    <row r="66" spans="1:1" x14ac:dyDescent="0.25">
      <c r="A66" s="170"/>
    </row>
    <row r="67" spans="1:1" x14ac:dyDescent="0.25">
      <c r="A67" s="170"/>
    </row>
    <row r="68" spans="1:1" x14ac:dyDescent="0.25">
      <c r="A68" s="170"/>
    </row>
    <row r="69" spans="1:1" x14ac:dyDescent="0.25">
      <c r="A69" s="170"/>
    </row>
    <row r="70" spans="1:1" x14ac:dyDescent="0.25">
      <c r="A70" s="170"/>
    </row>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sheetData>
  <sheetProtection algorithmName="SHA-512" hashValue="sx2oA4GpfOmDe7LGvnwvYN0Lyka8QbuttSGX7zX6BlX42J/6/vAzdWP+OYW4AUx4dWIvgZaMBQob5aHS1PReyw==" saltValue="zjTXXqTOCG/0oa9OZPGwfw==" spinCount="100000" sheet="1" insertRows="0" deleteRow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0FCB-308F-432D-99BE-BE036728C172}">
  <dimension ref="A1:H215"/>
  <sheetViews>
    <sheetView showGridLines="0" zoomScale="70" zoomScaleNormal="70" workbookViewId="0">
      <selection activeCell="B18" sqref="B18:G20"/>
    </sheetView>
  </sheetViews>
  <sheetFormatPr defaultColWidth="9.140625" defaultRowHeight="15" x14ac:dyDescent="0.25"/>
  <cols>
    <col min="1" max="1" width="15.7109375" customWidth="1"/>
    <col min="2" max="2" width="35.7109375" customWidth="1"/>
    <col min="3" max="3" width="40.42578125" customWidth="1"/>
    <col min="4" max="4" width="32.140625" customWidth="1"/>
    <col min="5" max="5" width="24.7109375" customWidth="1"/>
    <col min="6" max="6" width="83.42578125" customWidth="1"/>
    <col min="7" max="7" width="18.7109375" customWidth="1"/>
    <col min="8" max="8" width="16.140625" customWidth="1"/>
  </cols>
  <sheetData>
    <row r="1" spans="1:7" x14ac:dyDescent="0.25">
      <c r="D1" s="13" t="s">
        <v>16</v>
      </c>
      <c r="E1" s="9">
        <f>COUNTIFS(Table1[Status],D1,Table1[Position],"&lt;&gt;")</f>
        <v>0</v>
      </c>
      <c r="F1" s="9"/>
      <c r="G1" s="4">
        <f>SUMIFS(Table1[Spread],Table1[Status],D1,Table1[Position],"&lt;&gt;")</f>
        <v>0</v>
      </c>
    </row>
    <row r="2" spans="1:7" x14ac:dyDescent="0.25">
      <c r="D2" s="14" t="s">
        <v>6</v>
      </c>
      <c r="E2" s="10">
        <f>COUNTIFS(Table1[Status],D2,Table1[Position],"&lt;&gt;")</f>
        <v>0</v>
      </c>
      <c r="F2" s="10"/>
      <c r="G2" s="5">
        <f>SUMIFS(Table1[Spread],Table1[Status],D2,Table1[Position],"&lt;&gt;")</f>
        <v>0</v>
      </c>
    </row>
    <row r="3" spans="1:7" x14ac:dyDescent="0.25">
      <c r="D3" s="15" t="s">
        <v>8</v>
      </c>
      <c r="E3" s="11">
        <f>COUNTIFS(Table1[Status],D3,Table1[Position],"&lt;&gt;")</f>
        <v>0</v>
      </c>
      <c r="F3" s="11"/>
      <c r="G3" s="6">
        <f>SUMIFS(Table1[Spread],Table1[Status],D3,Table1[Position],"&lt;&gt;")</f>
        <v>0</v>
      </c>
    </row>
    <row r="4" spans="1:7" ht="15.75" thickBot="1" x14ac:dyDescent="0.3">
      <c r="D4" s="7" t="s">
        <v>5</v>
      </c>
      <c r="E4" s="12">
        <f>SUM(E1:E3)</f>
        <v>0</v>
      </c>
      <c r="F4" s="12"/>
      <c r="G4" s="8">
        <f>SUM(G1:G3)</f>
        <v>0</v>
      </c>
    </row>
    <row r="5" spans="1:7" ht="26.25" x14ac:dyDescent="0.4">
      <c r="A5" s="3" t="s">
        <v>18</v>
      </c>
    </row>
    <row r="6" spans="1:7" ht="23.25" customHeight="1" x14ac:dyDescent="0.35">
      <c r="A6" s="18" t="s">
        <v>17</v>
      </c>
      <c r="B6" s="18" t="s">
        <v>0</v>
      </c>
      <c r="C6" s="18" t="s">
        <v>1</v>
      </c>
      <c r="D6" s="18" t="s">
        <v>2</v>
      </c>
      <c r="E6" s="18" t="s">
        <v>3</v>
      </c>
      <c r="F6" s="18" t="s">
        <v>7</v>
      </c>
      <c r="G6" s="18" t="s">
        <v>4</v>
      </c>
    </row>
    <row r="7" spans="1:7" s="1" customFormat="1" ht="15" customHeight="1" x14ac:dyDescent="0.25">
      <c r="A7" s="180" t="s">
        <v>16</v>
      </c>
      <c r="B7" s="178"/>
      <c r="C7" s="179"/>
      <c r="D7" s="179"/>
      <c r="E7" s="180"/>
      <c r="F7" s="181"/>
      <c r="G7" s="182"/>
    </row>
    <row r="8" spans="1:7" s="1" customFormat="1" ht="15" customHeight="1" x14ac:dyDescent="0.25">
      <c r="A8" s="180" t="s">
        <v>16</v>
      </c>
      <c r="B8" s="178"/>
      <c r="C8" s="179"/>
      <c r="D8" s="179"/>
      <c r="E8" s="180"/>
      <c r="F8" s="181"/>
      <c r="G8" s="182"/>
    </row>
    <row r="9" spans="1:7" s="1" customFormat="1" ht="15" customHeight="1" x14ac:dyDescent="0.25">
      <c r="A9" s="180" t="s">
        <v>16</v>
      </c>
      <c r="B9" s="178"/>
      <c r="C9" s="179"/>
      <c r="D9" s="179"/>
      <c r="E9" s="180"/>
      <c r="F9" s="181"/>
      <c r="G9" s="182"/>
    </row>
    <row r="10" spans="1:7" s="1" customFormat="1" ht="15" customHeight="1" x14ac:dyDescent="0.25">
      <c r="A10" s="180" t="s">
        <v>16</v>
      </c>
      <c r="B10" s="178"/>
      <c r="C10" s="179"/>
      <c r="D10" s="179"/>
      <c r="E10" s="180"/>
      <c r="F10" s="181"/>
      <c r="G10" s="182"/>
    </row>
    <row r="11" spans="1:7" s="1" customFormat="1" ht="15" customHeight="1" x14ac:dyDescent="0.25">
      <c r="A11" s="180" t="s">
        <v>16</v>
      </c>
      <c r="B11" s="178"/>
      <c r="C11" s="179"/>
      <c r="D11" s="179"/>
      <c r="E11" s="180"/>
      <c r="F11" s="181"/>
      <c r="G11" s="182"/>
    </row>
    <row r="12" spans="1:7" s="1" customFormat="1" ht="15" customHeight="1" x14ac:dyDescent="0.25">
      <c r="A12" s="180" t="s">
        <v>16</v>
      </c>
      <c r="B12" s="178"/>
      <c r="C12" s="179"/>
      <c r="D12" s="179"/>
      <c r="E12" s="180"/>
      <c r="F12" s="181"/>
      <c r="G12" s="182"/>
    </row>
    <row r="13" spans="1:7" s="1" customFormat="1" ht="15" customHeight="1" x14ac:dyDescent="0.25">
      <c r="A13" s="180" t="s">
        <v>16</v>
      </c>
      <c r="B13" s="178"/>
      <c r="C13" s="179"/>
      <c r="D13" s="179"/>
      <c r="E13" s="180"/>
      <c r="F13" s="181"/>
      <c r="G13" s="182"/>
    </row>
    <row r="14" spans="1:7" s="1" customFormat="1" ht="15" customHeight="1" x14ac:dyDescent="0.25">
      <c r="A14" s="180" t="s">
        <v>16</v>
      </c>
      <c r="B14" s="178"/>
      <c r="C14" s="179"/>
      <c r="D14" s="179"/>
      <c r="E14" s="180"/>
      <c r="F14" s="181"/>
      <c r="G14" s="182"/>
    </row>
    <row r="15" spans="1:7" s="1" customFormat="1" ht="15" customHeight="1" x14ac:dyDescent="0.25">
      <c r="A15" s="180" t="s">
        <v>16</v>
      </c>
      <c r="B15" s="178"/>
      <c r="C15" s="179"/>
      <c r="D15" s="179"/>
      <c r="E15" s="180"/>
      <c r="F15" s="181"/>
      <c r="G15" s="182"/>
    </row>
    <row r="16" spans="1:7" s="1" customFormat="1" x14ac:dyDescent="0.25">
      <c r="A16" s="180" t="s">
        <v>16</v>
      </c>
      <c r="B16" s="178"/>
      <c r="C16" s="179"/>
      <c r="D16" s="179"/>
      <c r="E16" s="180"/>
      <c r="F16" s="181"/>
      <c r="G16" s="182"/>
    </row>
    <row r="17" spans="1:8" s="2" customFormat="1" x14ac:dyDescent="0.25">
      <c r="A17" s="180" t="s">
        <v>16</v>
      </c>
      <c r="B17" s="178"/>
      <c r="C17" s="179"/>
      <c r="D17" s="179"/>
      <c r="E17" s="180"/>
      <c r="F17" s="181"/>
      <c r="G17" s="182"/>
    </row>
    <row r="18" spans="1:8" s="2" customFormat="1" x14ac:dyDescent="0.25">
      <c r="A18" s="180" t="s">
        <v>6</v>
      </c>
      <c r="B18" s="178"/>
      <c r="C18" s="179"/>
      <c r="D18" s="179"/>
      <c r="E18" s="180"/>
      <c r="F18" s="181"/>
      <c r="G18" s="182"/>
      <c r="H18" s="1"/>
    </row>
    <row r="19" spans="1:8" s="2" customFormat="1" x14ac:dyDescent="0.25">
      <c r="A19" s="180" t="s">
        <v>6</v>
      </c>
      <c r="B19" s="178"/>
      <c r="C19" s="179"/>
      <c r="D19" s="179"/>
      <c r="E19" s="180"/>
      <c r="F19" s="181"/>
      <c r="G19" s="182"/>
      <c r="H19" s="1"/>
    </row>
    <row r="20" spans="1:8" s="2" customFormat="1" x14ac:dyDescent="0.25">
      <c r="A20" s="180" t="s">
        <v>6</v>
      </c>
      <c r="B20" s="178"/>
      <c r="C20" s="179"/>
      <c r="D20" s="179"/>
      <c r="E20" s="180"/>
      <c r="F20" s="181"/>
      <c r="G20" s="182"/>
      <c r="H20" s="1"/>
    </row>
    <row r="21" spans="1:8" s="2" customFormat="1" x14ac:dyDescent="0.25">
      <c r="A21" s="180" t="s">
        <v>6</v>
      </c>
      <c r="B21" s="178"/>
      <c r="C21" s="179"/>
      <c r="D21" s="179"/>
      <c r="E21" s="180"/>
      <c r="F21" s="181"/>
      <c r="G21" s="182"/>
      <c r="H21" s="1"/>
    </row>
    <row r="22" spans="1:8" s="2" customFormat="1" x14ac:dyDescent="0.25">
      <c r="A22" s="180" t="s">
        <v>6</v>
      </c>
      <c r="B22" s="178"/>
      <c r="C22" s="179"/>
      <c r="D22" s="179"/>
      <c r="E22" s="180"/>
      <c r="F22" s="181"/>
      <c r="G22" s="182"/>
      <c r="H22" s="1"/>
    </row>
    <row r="23" spans="1:8" s="2" customFormat="1" x14ac:dyDescent="0.25">
      <c r="A23" s="180" t="s">
        <v>6</v>
      </c>
      <c r="B23" s="178"/>
      <c r="C23" s="179"/>
      <c r="D23" s="179"/>
      <c r="E23" s="180"/>
      <c r="F23" s="181"/>
      <c r="G23" s="182"/>
      <c r="H23" s="1"/>
    </row>
    <row r="24" spans="1:8" s="2" customFormat="1" x14ac:dyDescent="0.25">
      <c r="A24" s="180" t="s">
        <v>6</v>
      </c>
      <c r="B24" s="178"/>
      <c r="C24" s="179"/>
      <c r="D24" s="179"/>
      <c r="E24" s="180"/>
      <c r="F24" s="181"/>
      <c r="G24" s="182"/>
      <c r="H24" s="1"/>
    </row>
    <row r="25" spans="1:8" s="2" customFormat="1" x14ac:dyDescent="0.25">
      <c r="A25" s="180" t="s">
        <v>6</v>
      </c>
      <c r="B25" s="178"/>
      <c r="C25" s="179"/>
      <c r="D25" s="179"/>
      <c r="E25" s="180"/>
      <c r="F25" s="181"/>
      <c r="G25" s="182"/>
      <c r="H25" s="1"/>
    </row>
    <row r="26" spans="1:8" s="1" customFormat="1" x14ac:dyDescent="0.25">
      <c r="A26" s="180" t="s">
        <v>6</v>
      </c>
      <c r="B26" s="178"/>
      <c r="C26" s="179"/>
      <c r="D26" s="179"/>
      <c r="E26" s="180"/>
      <c r="F26" s="181"/>
      <c r="G26" s="182"/>
    </row>
    <row r="27" spans="1:8" s="1" customFormat="1" x14ac:dyDescent="0.25">
      <c r="A27" s="180" t="s">
        <v>6</v>
      </c>
      <c r="B27" s="178"/>
      <c r="C27" s="179"/>
      <c r="D27" s="179"/>
      <c r="E27" s="180"/>
      <c r="F27" s="181"/>
      <c r="G27" s="182"/>
    </row>
    <row r="28" spans="1:8" s="1" customFormat="1" x14ac:dyDescent="0.25">
      <c r="A28" s="180" t="s">
        <v>6</v>
      </c>
      <c r="B28" s="180"/>
      <c r="C28" s="179"/>
      <c r="D28" s="179"/>
      <c r="E28" s="180"/>
      <c r="F28" s="181"/>
      <c r="G28" s="182"/>
    </row>
    <row r="29" spans="1:8" s="1" customFormat="1" x14ac:dyDescent="0.25">
      <c r="A29" s="180" t="s">
        <v>6</v>
      </c>
      <c r="B29" s="178"/>
      <c r="C29" s="179"/>
      <c r="D29" s="179"/>
      <c r="E29" s="180"/>
      <c r="F29" s="181"/>
      <c r="G29" s="182"/>
    </row>
    <row r="30" spans="1:8" s="1" customFormat="1" x14ac:dyDescent="0.25">
      <c r="A30" s="180" t="s">
        <v>6</v>
      </c>
      <c r="B30" s="178"/>
      <c r="C30" s="179"/>
      <c r="D30" s="179"/>
      <c r="E30" s="180"/>
      <c r="F30" s="181"/>
      <c r="G30" s="182"/>
    </row>
    <row r="31" spans="1:8" x14ac:dyDescent="0.25">
      <c r="A31" s="180" t="s">
        <v>6</v>
      </c>
      <c r="B31" s="178"/>
      <c r="C31" s="179"/>
      <c r="D31" s="179"/>
      <c r="E31" s="180"/>
      <c r="F31" s="181"/>
      <c r="G31" s="182"/>
    </row>
    <row r="32" spans="1:8" x14ac:dyDescent="0.25">
      <c r="A32" s="180" t="s">
        <v>6</v>
      </c>
      <c r="B32" s="178"/>
      <c r="C32" s="179"/>
      <c r="D32" s="179"/>
      <c r="E32" s="180"/>
      <c r="F32" s="181"/>
      <c r="G32" s="182"/>
    </row>
    <row r="33" spans="1:7" x14ac:dyDescent="0.25">
      <c r="A33" s="180" t="s">
        <v>8</v>
      </c>
      <c r="B33" s="178"/>
      <c r="C33" s="179"/>
      <c r="D33" s="179"/>
      <c r="E33" s="180"/>
      <c r="F33" s="181"/>
      <c r="G33" s="182"/>
    </row>
    <row r="34" spans="1:7" x14ac:dyDescent="0.25">
      <c r="A34" s="180" t="s">
        <v>8</v>
      </c>
      <c r="B34" s="178"/>
      <c r="C34" s="179"/>
      <c r="D34" s="179"/>
      <c r="E34" s="180"/>
      <c r="F34" s="181"/>
      <c r="G34" s="182"/>
    </row>
    <row r="35" spans="1:7" x14ac:dyDescent="0.25">
      <c r="A35" s="180" t="s">
        <v>8</v>
      </c>
      <c r="B35" s="178"/>
      <c r="C35" s="179"/>
      <c r="D35" s="179"/>
      <c r="E35" s="180"/>
      <c r="F35" s="181"/>
      <c r="G35" s="182"/>
    </row>
    <row r="36" spans="1:7" x14ac:dyDescent="0.25">
      <c r="A36" s="180" t="s">
        <v>8</v>
      </c>
      <c r="B36" s="178"/>
      <c r="C36" s="179"/>
      <c r="D36" s="179"/>
      <c r="E36" s="180"/>
      <c r="F36" s="181"/>
      <c r="G36" s="182"/>
    </row>
    <row r="37" spans="1:7" x14ac:dyDescent="0.25">
      <c r="A37" s="180" t="s">
        <v>8</v>
      </c>
      <c r="B37" s="180"/>
      <c r="C37" s="179"/>
      <c r="D37" s="179"/>
      <c r="E37" s="180"/>
      <c r="F37" s="181"/>
      <c r="G37" s="182"/>
    </row>
    <row r="38" spans="1:7" x14ac:dyDescent="0.25">
      <c r="A38" s="180" t="s">
        <v>8</v>
      </c>
      <c r="B38" s="178"/>
      <c r="C38" s="179"/>
      <c r="D38" s="179"/>
      <c r="E38" s="180"/>
      <c r="F38" s="181"/>
      <c r="G38" s="182"/>
    </row>
    <row r="39" spans="1:7" x14ac:dyDescent="0.25">
      <c r="A39" s="180" t="s">
        <v>8</v>
      </c>
      <c r="B39" s="178"/>
      <c r="C39" s="179"/>
      <c r="D39" s="179"/>
      <c r="E39" s="180"/>
      <c r="F39" s="181"/>
      <c r="G39" s="182"/>
    </row>
    <row r="40" spans="1:7" x14ac:dyDescent="0.25">
      <c r="A40" s="180" t="s">
        <v>8</v>
      </c>
      <c r="B40" s="178"/>
      <c r="C40" s="179"/>
      <c r="D40" s="179"/>
      <c r="E40" s="180"/>
      <c r="F40" s="181"/>
      <c r="G40" s="182"/>
    </row>
    <row r="41" spans="1:7" x14ac:dyDescent="0.25">
      <c r="A41" s="180" t="s">
        <v>8</v>
      </c>
      <c r="B41" s="178"/>
      <c r="C41" s="179"/>
      <c r="D41" s="179"/>
      <c r="E41" s="180"/>
      <c r="F41" s="181"/>
      <c r="G41" s="182"/>
    </row>
    <row r="42" spans="1:7" x14ac:dyDescent="0.25">
      <c r="A42" s="180" t="s">
        <v>8</v>
      </c>
      <c r="B42" s="178"/>
      <c r="C42" s="179"/>
      <c r="D42" s="179"/>
      <c r="E42" s="180"/>
      <c r="F42" s="181"/>
      <c r="G42" s="182"/>
    </row>
    <row r="43" spans="1:7" x14ac:dyDescent="0.25">
      <c r="A43" s="180" t="s">
        <v>8</v>
      </c>
      <c r="B43" s="178"/>
      <c r="C43" s="179"/>
      <c r="D43" s="179"/>
      <c r="E43" s="180"/>
      <c r="F43" s="181"/>
      <c r="G43" s="182"/>
    </row>
    <row r="44" spans="1:7" x14ac:dyDescent="0.25">
      <c r="A44" s="180" t="s">
        <v>8</v>
      </c>
      <c r="B44" s="178"/>
      <c r="C44" s="179"/>
      <c r="D44" s="179"/>
      <c r="E44" s="180"/>
      <c r="F44" s="181"/>
      <c r="G44" s="182"/>
    </row>
    <row r="45" spans="1:7" x14ac:dyDescent="0.25">
      <c r="A45" s="180" t="s">
        <v>8</v>
      </c>
      <c r="B45" s="178"/>
      <c r="C45" s="179"/>
      <c r="D45" s="179"/>
      <c r="E45" s="180"/>
      <c r="F45" s="181"/>
      <c r="G45" s="182"/>
    </row>
    <row r="46" spans="1:7" x14ac:dyDescent="0.25">
      <c r="A46" s="180" t="s">
        <v>8</v>
      </c>
      <c r="B46" s="178"/>
      <c r="C46" s="179"/>
      <c r="D46" s="179"/>
      <c r="E46" s="180"/>
      <c r="F46" s="181"/>
      <c r="G46" s="182"/>
    </row>
    <row r="47" spans="1:7" x14ac:dyDescent="0.25">
      <c r="A47" s="180" t="s">
        <v>8</v>
      </c>
      <c r="B47" s="178"/>
      <c r="C47" s="179"/>
      <c r="D47" s="179"/>
      <c r="E47" s="180"/>
      <c r="F47" s="181"/>
      <c r="G47" s="182"/>
    </row>
    <row r="48" spans="1:7" x14ac:dyDescent="0.25">
      <c r="A48" s="180" t="s">
        <v>8</v>
      </c>
      <c r="B48" s="178"/>
      <c r="C48" s="179"/>
      <c r="D48" s="179"/>
      <c r="E48" s="180"/>
      <c r="F48" s="181"/>
      <c r="G48" s="182"/>
    </row>
    <row r="49" spans="1:7" x14ac:dyDescent="0.25">
      <c r="A49" s="180" t="s">
        <v>8</v>
      </c>
      <c r="B49" s="178"/>
      <c r="C49" s="179"/>
      <c r="D49" s="179"/>
      <c r="E49" s="180"/>
      <c r="F49" s="181"/>
      <c r="G49" s="182"/>
    </row>
    <row r="50" spans="1:7" x14ac:dyDescent="0.25">
      <c r="A50" s="180" t="s">
        <v>8</v>
      </c>
      <c r="B50" s="178"/>
      <c r="C50" s="179"/>
      <c r="D50" s="179"/>
      <c r="E50" s="180"/>
      <c r="F50" s="181"/>
      <c r="G50" s="182"/>
    </row>
    <row r="51" spans="1:7" x14ac:dyDescent="0.25">
      <c r="A51" s="180" t="s">
        <v>8</v>
      </c>
      <c r="B51" s="178"/>
      <c r="C51" s="179"/>
      <c r="D51" s="179"/>
      <c r="E51" s="180"/>
      <c r="F51" s="181"/>
      <c r="G51" s="182"/>
    </row>
    <row r="52" spans="1:7" x14ac:dyDescent="0.25">
      <c r="A52" s="180" t="s">
        <v>8</v>
      </c>
      <c r="B52" s="178"/>
      <c r="C52" s="179"/>
      <c r="D52" s="179"/>
      <c r="E52" s="180"/>
      <c r="F52" s="181"/>
      <c r="G52" s="182"/>
    </row>
    <row r="53" spans="1:7" x14ac:dyDescent="0.25">
      <c r="A53" s="180" t="s">
        <v>8</v>
      </c>
      <c r="B53" s="178"/>
      <c r="C53" s="179"/>
      <c r="D53" s="179"/>
      <c r="E53" s="180"/>
      <c r="F53" s="181"/>
      <c r="G53" s="182"/>
    </row>
    <row r="54" spans="1:7" x14ac:dyDescent="0.25">
      <c r="A54" s="180" t="s">
        <v>8</v>
      </c>
      <c r="B54" s="178"/>
      <c r="C54" s="179"/>
      <c r="D54" s="179"/>
      <c r="E54" s="180"/>
      <c r="F54" s="181"/>
      <c r="G54" s="182"/>
    </row>
    <row r="55" spans="1:7" x14ac:dyDescent="0.25">
      <c r="A55" s="180" t="s">
        <v>8</v>
      </c>
      <c r="B55" s="178"/>
      <c r="C55" s="179"/>
      <c r="D55" s="179"/>
      <c r="E55" s="180"/>
      <c r="F55" s="181"/>
      <c r="G55" s="182"/>
    </row>
    <row r="56" spans="1:7" x14ac:dyDescent="0.25">
      <c r="A56" s="180" t="s">
        <v>8</v>
      </c>
      <c r="B56" s="178"/>
      <c r="C56" s="179"/>
      <c r="D56" s="179"/>
      <c r="E56" s="180"/>
      <c r="F56" s="181"/>
      <c r="G56" s="182"/>
    </row>
    <row r="57" spans="1:7" x14ac:dyDescent="0.25">
      <c r="A57" s="17"/>
      <c r="B57" s="17"/>
      <c r="C57" s="17"/>
      <c r="D57" s="17"/>
      <c r="E57" s="17"/>
      <c r="F57" s="17"/>
      <c r="G57" s="17"/>
    </row>
    <row r="58" spans="1:7" x14ac:dyDescent="0.25">
      <c r="A58" s="17"/>
      <c r="B58" s="17"/>
      <c r="C58" s="17"/>
      <c r="D58" s="17"/>
      <c r="E58" s="17"/>
      <c r="F58" s="17"/>
      <c r="G58" s="17"/>
    </row>
    <row r="59" spans="1:7" x14ac:dyDescent="0.25">
      <c r="A59" s="17"/>
      <c r="B59" s="17"/>
      <c r="C59" s="17"/>
      <c r="D59" s="17"/>
      <c r="E59" s="17"/>
      <c r="F59" s="17"/>
      <c r="G59" s="17"/>
    </row>
    <row r="60" spans="1:7" x14ac:dyDescent="0.25">
      <c r="A60" s="17"/>
      <c r="B60" s="17"/>
      <c r="C60" s="17"/>
      <c r="D60" s="17"/>
      <c r="E60" s="17"/>
      <c r="F60" s="17"/>
      <c r="G60" s="17"/>
    </row>
    <row r="61" spans="1:7" x14ac:dyDescent="0.25">
      <c r="A61" s="17"/>
      <c r="B61" s="17"/>
      <c r="C61" s="17"/>
      <c r="D61" s="17"/>
      <c r="E61" s="17"/>
      <c r="F61" s="17"/>
      <c r="G61" s="17"/>
    </row>
    <row r="62" spans="1:7" x14ac:dyDescent="0.25">
      <c r="A62" s="17"/>
      <c r="B62" s="17"/>
      <c r="C62" s="17"/>
      <c r="D62" s="17"/>
      <c r="E62" s="17"/>
      <c r="F62" s="17"/>
      <c r="G62" s="17"/>
    </row>
    <row r="63" spans="1:7" x14ac:dyDescent="0.25">
      <c r="A63" s="17"/>
      <c r="B63" s="17"/>
      <c r="C63" s="17"/>
      <c r="D63" s="17"/>
      <c r="E63" s="17"/>
      <c r="F63" s="17"/>
      <c r="G63" s="17"/>
    </row>
    <row r="64" spans="1:7" x14ac:dyDescent="0.25">
      <c r="A64" s="17"/>
      <c r="B64" s="17"/>
      <c r="C64" s="17"/>
      <c r="D64" s="17"/>
      <c r="E64" s="17"/>
      <c r="F64" s="17"/>
      <c r="G64" s="17"/>
    </row>
    <row r="65" spans="1:7" x14ac:dyDescent="0.25">
      <c r="A65" s="17"/>
      <c r="B65" s="17"/>
      <c r="C65" s="17"/>
      <c r="D65" s="17"/>
      <c r="E65" s="17"/>
      <c r="F65" s="17"/>
      <c r="G65" s="17"/>
    </row>
    <row r="66" spans="1:7" x14ac:dyDescent="0.25">
      <c r="A66" s="17"/>
      <c r="B66" s="17"/>
      <c r="C66" s="17"/>
      <c r="D66" s="17"/>
      <c r="E66" s="17"/>
      <c r="F66" s="17"/>
      <c r="G66" s="17"/>
    </row>
    <row r="67" spans="1:7" x14ac:dyDescent="0.25">
      <c r="A67" s="17"/>
      <c r="B67" s="17"/>
      <c r="C67" s="17"/>
      <c r="D67" s="17"/>
      <c r="E67" s="17"/>
      <c r="F67" s="17"/>
      <c r="G67" s="17"/>
    </row>
    <row r="68" spans="1:7" x14ac:dyDescent="0.25">
      <c r="A68" s="17"/>
      <c r="B68" s="17"/>
      <c r="C68" s="17"/>
      <c r="D68" s="17"/>
      <c r="E68" s="17"/>
      <c r="F68" s="17"/>
      <c r="G68" s="17"/>
    </row>
    <row r="69" spans="1:7" x14ac:dyDescent="0.25">
      <c r="A69" s="17"/>
      <c r="B69" s="17"/>
      <c r="C69" s="17"/>
      <c r="D69" s="17"/>
      <c r="E69" s="17"/>
      <c r="F69" s="17"/>
      <c r="G69" s="17"/>
    </row>
    <row r="70" spans="1:7" x14ac:dyDescent="0.25">
      <c r="A70" s="17"/>
      <c r="B70" s="17"/>
      <c r="C70" s="17"/>
      <c r="D70" s="17"/>
      <c r="E70" s="17"/>
      <c r="F70" s="17"/>
      <c r="G70" s="17"/>
    </row>
    <row r="71" spans="1:7" x14ac:dyDescent="0.25">
      <c r="A71" s="17"/>
      <c r="B71" s="17"/>
      <c r="C71" s="17"/>
      <c r="D71" s="17"/>
      <c r="E71" s="17"/>
      <c r="F71" s="17"/>
      <c r="G71" s="17"/>
    </row>
    <row r="72" spans="1:7" x14ac:dyDescent="0.25">
      <c r="A72" s="17"/>
      <c r="B72" s="17"/>
      <c r="C72" s="17"/>
      <c r="D72" s="17"/>
      <c r="E72" s="17"/>
      <c r="F72" s="17"/>
      <c r="G72" s="17"/>
    </row>
    <row r="73" spans="1:7" x14ac:dyDescent="0.25">
      <c r="A73" s="17"/>
      <c r="B73" s="17"/>
      <c r="C73" s="17"/>
      <c r="D73" s="17"/>
      <c r="E73" s="17"/>
      <c r="F73" s="17"/>
      <c r="G73" s="17"/>
    </row>
    <row r="74" spans="1:7" x14ac:dyDescent="0.25">
      <c r="A74" s="17"/>
      <c r="B74" s="17"/>
      <c r="C74" s="17"/>
      <c r="D74" s="17"/>
      <c r="E74" s="17"/>
      <c r="F74" s="17"/>
      <c r="G74" s="17"/>
    </row>
    <row r="75" spans="1:7" x14ac:dyDescent="0.25">
      <c r="A75" s="17"/>
      <c r="B75" s="17"/>
      <c r="C75" s="17"/>
      <c r="D75" s="17"/>
      <c r="E75" s="17"/>
      <c r="F75" s="17"/>
      <c r="G75" s="17"/>
    </row>
    <row r="76" spans="1:7" x14ac:dyDescent="0.25">
      <c r="A76" s="17"/>
      <c r="B76" s="17"/>
      <c r="C76" s="17"/>
      <c r="D76" s="17"/>
      <c r="E76" s="17"/>
      <c r="F76" s="17"/>
      <c r="G76" s="17"/>
    </row>
    <row r="77" spans="1:7" x14ac:dyDescent="0.25">
      <c r="A77" s="17"/>
      <c r="B77" s="17"/>
      <c r="C77" s="17"/>
      <c r="D77" s="17"/>
      <c r="E77" s="17"/>
      <c r="F77" s="17"/>
      <c r="G77" s="17"/>
    </row>
    <row r="78" spans="1:7" x14ac:dyDescent="0.25">
      <c r="A78" s="17"/>
      <c r="B78" s="17"/>
      <c r="C78" s="17"/>
      <c r="D78" s="17"/>
      <c r="E78" s="17"/>
      <c r="F78" s="17"/>
      <c r="G78" s="17"/>
    </row>
    <row r="79" spans="1:7" x14ac:dyDescent="0.25">
      <c r="A79" s="17"/>
      <c r="B79" s="17"/>
      <c r="C79" s="17"/>
      <c r="D79" s="17"/>
      <c r="E79" s="17"/>
      <c r="F79" s="17"/>
      <c r="G79" s="17"/>
    </row>
    <row r="80" spans="1:7" x14ac:dyDescent="0.25">
      <c r="A80" s="17"/>
      <c r="B80" s="17"/>
      <c r="C80" s="17"/>
      <c r="D80" s="17"/>
      <c r="E80" s="17"/>
      <c r="F80" s="17"/>
      <c r="G80" s="17"/>
    </row>
    <row r="81" spans="1:7" x14ac:dyDescent="0.25">
      <c r="A81" s="17"/>
      <c r="B81" s="17"/>
      <c r="C81" s="17"/>
      <c r="D81" s="17"/>
      <c r="E81" s="17"/>
      <c r="F81" s="17"/>
      <c r="G81" s="17"/>
    </row>
    <row r="82" spans="1:7" x14ac:dyDescent="0.25">
      <c r="A82" s="17"/>
      <c r="B82" s="17"/>
      <c r="C82" s="17"/>
      <c r="D82" s="17"/>
      <c r="E82" s="17"/>
      <c r="F82" s="17"/>
      <c r="G82" s="17"/>
    </row>
    <row r="83" spans="1:7" x14ac:dyDescent="0.25">
      <c r="A83" s="17"/>
      <c r="B83" s="17"/>
      <c r="C83" s="17"/>
      <c r="D83" s="17"/>
      <c r="E83" s="17"/>
      <c r="F83" s="17"/>
      <c r="G83" s="17"/>
    </row>
    <row r="84" spans="1:7" x14ac:dyDescent="0.25">
      <c r="A84" s="17"/>
      <c r="B84" s="17"/>
      <c r="C84" s="17"/>
      <c r="D84" s="17"/>
      <c r="E84" s="17"/>
      <c r="F84" s="17"/>
      <c r="G84" s="17"/>
    </row>
    <row r="85" spans="1:7" x14ac:dyDescent="0.25">
      <c r="A85" s="17"/>
      <c r="B85" s="17"/>
      <c r="C85" s="17"/>
      <c r="D85" s="17"/>
      <c r="E85" s="17"/>
      <c r="F85" s="17"/>
      <c r="G85" s="17"/>
    </row>
    <row r="86" spans="1:7" x14ac:dyDescent="0.25">
      <c r="A86" s="17"/>
      <c r="B86" s="17"/>
      <c r="C86" s="17"/>
      <c r="D86" s="17"/>
      <c r="E86" s="17"/>
      <c r="F86" s="17"/>
      <c r="G86" s="17"/>
    </row>
    <row r="87" spans="1:7" x14ac:dyDescent="0.25">
      <c r="A87" s="17"/>
      <c r="B87" s="17"/>
      <c r="C87" s="17"/>
      <c r="D87" s="17"/>
      <c r="E87" s="17"/>
      <c r="F87" s="17"/>
      <c r="G87" s="17"/>
    </row>
    <row r="88" spans="1:7" x14ac:dyDescent="0.25">
      <c r="A88" s="17"/>
      <c r="B88" s="17"/>
      <c r="C88" s="17"/>
      <c r="D88" s="17"/>
      <c r="E88" s="17"/>
      <c r="F88" s="17"/>
      <c r="G88" s="17"/>
    </row>
    <row r="89" spans="1:7" x14ac:dyDescent="0.25">
      <c r="A89" s="17"/>
      <c r="B89" s="17"/>
      <c r="C89" s="17"/>
      <c r="D89" s="17"/>
      <c r="E89" s="17"/>
      <c r="F89" s="17"/>
      <c r="G89" s="17"/>
    </row>
    <row r="90" spans="1:7" x14ac:dyDescent="0.25">
      <c r="A90" s="17"/>
      <c r="B90" s="17"/>
      <c r="C90" s="17"/>
      <c r="D90" s="17"/>
      <c r="E90" s="17"/>
      <c r="F90" s="17"/>
      <c r="G90" s="17"/>
    </row>
    <row r="91" spans="1:7" x14ac:dyDescent="0.25">
      <c r="A91" s="17"/>
      <c r="B91" s="17"/>
      <c r="C91" s="17"/>
      <c r="D91" s="17"/>
      <c r="E91" s="17"/>
      <c r="F91" s="17"/>
      <c r="G91" s="17"/>
    </row>
    <row r="92" spans="1:7" x14ac:dyDescent="0.25">
      <c r="A92" s="17"/>
      <c r="B92" s="17"/>
      <c r="C92" s="17"/>
      <c r="D92" s="17"/>
      <c r="E92" s="17"/>
      <c r="F92" s="17"/>
      <c r="G92" s="17"/>
    </row>
    <row r="93" spans="1:7" x14ac:dyDescent="0.25">
      <c r="A93" s="17"/>
      <c r="B93" s="17"/>
      <c r="C93" s="17"/>
      <c r="D93" s="17"/>
      <c r="E93" s="17"/>
      <c r="F93" s="17"/>
      <c r="G93" s="17"/>
    </row>
    <row r="94" spans="1:7" x14ac:dyDescent="0.25">
      <c r="A94" s="17"/>
      <c r="B94" s="17"/>
      <c r="C94" s="17"/>
      <c r="D94" s="17"/>
      <c r="E94" s="17"/>
      <c r="F94" s="17"/>
      <c r="G94" s="17"/>
    </row>
    <row r="95" spans="1:7" x14ac:dyDescent="0.25">
      <c r="A95" s="17"/>
      <c r="B95" s="17"/>
      <c r="C95" s="17"/>
      <c r="D95" s="17"/>
      <c r="E95" s="17"/>
      <c r="F95" s="17"/>
      <c r="G95" s="17"/>
    </row>
    <row r="96" spans="1:7" x14ac:dyDescent="0.25">
      <c r="A96" s="17"/>
      <c r="B96" s="17"/>
      <c r="C96" s="17"/>
      <c r="D96" s="17"/>
      <c r="E96" s="17"/>
      <c r="F96" s="17"/>
      <c r="G96" s="17"/>
    </row>
    <row r="97" spans="1:7" x14ac:dyDescent="0.25">
      <c r="A97" s="17"/>
      <c r="B97" s="17"/>
      <c r="C97" s="17"/>
      <c r="D97" s="17"/>
      <c r="E97" s="17"/>
      <c r="F97" s="17"/>
      <c r="G97" s="17"/>
    </row>
    <row r="98" spans="1:7" x14ac:dyDescent="0.25">
      <c r="A98" s="17"/>
      <c r="B98" s="17"/>
      <c r="C98" s="17"/>
      <c r="D98" s="17"/>
      <c r="E98" s="17"/>
      <c r="F98" s="17"/>
      <c r="G98" s="17"/>
    </row>
    <row r="99" spans="1:7" x14ac:dyDescent="0.25">
      <c r="A99" s="17"/>
      <c r="B99" s="17"/>
      <c r="C99" s="17"/>
      <c r="D99" s="17"/>
      <c r="E99" s="17"/>
      <c r="F99" s="17"/>
      <c r="G99" s="17"/>
    </row>
    <row r="100" spans="1:7" x14ac:dyDescent="0.25">
      <c r="A100" s="17"/>
      <c r="B100" s="17"/>
      <c r="C100" s="17"/>
      <c r="D100" s="17"/>
      <c r="E100" s="17"/>
      <c r="F100" s="17"/>
      <c r="G100" s="17"/>
    </row>
    <row r="101" spans="1:7" x14ac:dyDescent="0.25">
      <c r="A101" s="17"/>
      <c r="B101" s="17"/>
      <c r="C101" s="17"/>
      <c r="D101" s="17"/>
      <c r="E101" s="17"/>
      <c r="F101" s="17"/>
      <c r="G101" s="17"/>
    </row>
    <row r="102" spans="1:7" x14ac:dyDescent="0.25">
      <c r="A102" s="17"/>
      <c r="B102" s="17"/>
      <c r="C102" s="17"/>
      <c r="D102" s="17"/>
      <c r="E102" s="17"/>
      <c r="F102" s="17"/>
      <c r="G102" s="17"/>
    </row>
    <row r="103" spans="1:7" x14ac:dyDescent="0.25">
      <c r="A103" s="17"/>
      <c r="B103" s="17"/>
      <c r="C103" s="17"/>
      <c r="D103" s="17"/>
      <c r="E103" s="17"/>
      <c r="F103" s="17"/>
      <c r="G103" s="17"/>
    </row>
    <row r="104" spans="1:7" x14ac:dyDescent="0.25">
      <c r="A104" s="17"/>
      <c r="B104" s="17"/>
      <c r="C104" s="17"/>
      <c r="D104" s="17"/>
      <c r="E104" s="17"/>
      <c r="F104" s="17"/>
      <c r="G104" s="17"/>
    </row>
    <row r="105" spans="1:7" x14ac:dyDescent="0.25">
      <c r="A105" s="17"/>
      <c r="B105" s="17"/>
      <c r="C105" s="17"/>
      <c r="D105" s="17"/>
      <c r="E105" s="17"/>
      <c r="F105" s="17"/>
      <c r="G105" s="17"/>
    </row>
    <row r="106" spans="1:7" x14ac:dyDescent="0.25">
      <c r="A106" s="17"/>
      <c r="B106" s="17"/>
      <c r="C106" s="17"/>
      <c r="D106" s="17"/>
      <c r="E106" s="17"/>
      <c r="F106" s="17"/>
      <c r="G106" s="17"/>
    </row>
    <row r="107" spans="1:7" x14ac:dyDescent="0.25">
      <c r="A107" s="17"/>
      <c r="B107" s="17"/>
      <c r="C107" s="17"/>
      <c r="D107" s="17"/>
      <c r="E107" s="17"/>
      <c r="F107" s="17"/>
      <c r="G107" s="17"/>
    </row>
    <row r="108" spans="1:7" x14ac:dyDescent="0.25">
      <c r="A108" s="17"/>
      <c r="B108" s="17"/>
      <c r="C108" s="17"/>
      <c r="D108" s="17"/>
      <c r="E108" s="17"/>
      <c r="F108" s="17"/>
      <c r="G108" s="17"/>
    </row>
    <row r="109" spans="1:7" x14ac:dyDescent="0.25">
      <c r="A109" s="17"/>
      <c r="B109" s="17"/>
      <c r="C109" s="17"/>
      <c r="D109" s="17"/>
      <c r="E109" s="17"/>
      <c r="F109" s="17"/>
      <c r="G109" s="17"/>
    </row>
    <row r="110" spans="1:7" x14ac:dyDescent="0.25">
      <c r="A110" s="17"/>
      <c r="B110" s="17"/>
      <c r="C110" s="17"/>
      <c r="D110" s="17"/>
      <c r="E110" s="17"/>
      <c r="F110" s="17"/>
      <c r="G110" s="17"/>
    </row>
    <row r="111" spans="1:7" x14ac:dyDescent="0.25">
      <c r="A111" s="17"/>
      <c r="B111" s="17"/>
      <c r="C111" s="17"/>
      <c r="D111" s="17"/>
      <c r="E111" s="17"/>
      <c r="F111" s="17"/>
      <c r="G111" s="17"/>
    </row>
    <row r="112" spans="1:7" x14ac:dyDescent="0.25">
      <c r="A112" s="17"/>
      <c r="B112" s="17"/>
      <c r="C112" s="17"/>
      <c r="D112" s="17"/>
      <c r="E112" s="17"/>
      <c r="F112" s="17"/>
      <c r="G112" s="17"/>
    </row>
    <row r="113" spans="1:7" x14ac:dyDescent="0.25">
      <c r="A113" s="17"/>
      <c r="B113" s="17"/>
      <c r="C113" s="17"/>
      <c r="D113" s="17"/>
      <c r="E113" s="17"/>
      <c r="F113" s="17"/>
      <c r="G113" s="17"/>
    </row>
    <row r="114" spans="1:7" x14ac:dyDescent="0.25">
      <c r="A114" s="17"/>
      <c r="B114" s="17"/>
      <c r="C114" s="17"/>
      <c r="D114" s="17"/>
      <c r="E114" s="17"/>
      <c r="F114" s="17"/>
      <c r="G114" s="17"/>
    </row>
    <row r="115" spans="1:7" x14ac:dyDescent="0.25">
      <c r="A115" s="17"/>
      <c r="B115" s="17"/>
      <c r="C115" s="17"/>
      <c r="D115" s="17"/>
      <c r="E115" s="17"/>
      <c r="F115" s="17"/>
      <c r="G115" s="17"/>
    </row>
    <row r="116" spans="1:7" x14ac:dyDescent="0.25">
      <c r="A116" s="17"/>
      <c r="B116" s="17"/>
      <c r="C116" s="17"/>
      <c r="D116" s="17"/>
      <c r="E116" s="17"/>
      <c r="F116" s="17"/>
      <c r="G116" s="17"/>
    </row>
    <row r="117" spans="1:7" x14ac:dyDescent="0.25">
      <c r="A117" s="17"/>
      <c r="B117" s="17"/>
      <c r="C117" s="17"/>
      <c r="D117" s="17"/>
      <c r="E117" s="17"/>
      <c r="F117" s="17"/>
      <c r="G117" s="17"/>
    </row>
    <row r="118" spans="1:7" x14ac:dyDescent="0.25">
      <c r="A118" s="17"/>
      <c r="B118" s="17"/>
      <c r="C118" s="17"/>
      <c r="D118" s="17"/>
      <c r="E118" s="17"/>
      <c r="F118" s="17"/>
      <c r="G118" s="17"/>
    </row>
    <row r="119" spans="1:7" x14ac:dyDescent="0.25">
      <c r="A119" s="17"/>
      <c r="B119" s="17"/>
      <c r="C119" s="17"/>
      <c r="D119" s="17"/>
      <c r="E119" s="17"/>
      <c r="F119" s="17"/>
      <c r="G119" s="17"/>
    </row>
    <row r="120" spans="1:7" x14ac:dyDescent="0.25">
      <c r="A120" s="17"/>
      <c r="B120" s="17"/>
      <c r="C120" s="17"/>
      <c r="D120" s="17"/>
      <c r="E120" s="17"/>
      <c r="F120" s="17"/>
      <c r="G120" s="17"/>
    </row>
    <row r="121" spans="1:7" x14ac:dyDescent="0.25">
      <c r="A121" s="17"/>
      <c r="B121" s="17"/>
      <c r="C121" s="17"/>
      <c r="D121" s="17"/>
      <c r="E121" s="17"/>
      <c r="F121" s="17"/>
      <c r="G121" s="17"/>
    </row>
    <row r="122" spans="1:7" x14ac:dyDescent="0.25">
      <c r="A122" s="17"/>
      <c r="B122" s="17"/>
      <c r="C122" s="17"/>
      <c r="D122" s="17"/>
      <c r="E122" s="17"/>
      <c r="F122" s="17"/>
      <c r="G122" s="17"/>
    </row>
    <row r="123" spans="1:7" x14ac:dyDescent="0.25">
      <c r="A123" s="17"/>
      <c r="B123" s="17"/>
      <c r="C123" s="17"/>
      <c r="D123" s="17"/>
      <c r="E123" s="17"/>
      <c r="F123" s="17"/>
      <c r="G123" s="17"/>
    </row>
    <row r="124" spans="1:7" x14ac:dyDescent="0.25">
      <c r="A124" s="17"/>
      <c r="B124" s="17"/>
      <c r="C124" s="17"/>
      <c r="D124" s="17"/>
      <c r="E124" s="17"/>
      <c r="F124" s="17"/>
      <c r="G124" s="17"/>
    </row>
    <row r="125" spans="1:7" x14ac:dyDescent="0.25">
      <c r="A125" s="17"/>
      <c r="B125" s="17"/>
      <c r="C125" s="17"/>
      <c r="D125" s="17"/>
      <c r="E125" s="17"/>
      <c r="F125" s="17"/>
      <c r="G125" s="17"/>
    </row>
    <row r="126" spans="1:7" x14ac:dyDescent="0.25">
      <c r="A126" s="17"/>
      <c r="B126" s="17"/>
      <c r="C126" s="17"/>
      <c r="D126" s="17"/>
      <c r="E126" s="17"/>
      <c r="F126" s="17"/>
      <c r="G126" s="17"/>
    </row>
    <row r="127" spans="1:7" x14ac:dyDescent="0.25">
      <c r="A127" s="17"/>
      <c r="B127" s="17"/>
      <c r="C127" s="17"/>
      <c r="D127" s="17"/>
      <c r="E127" s="17"/>
      <c r="F127" s="17"/>
      <c r="G127" s="17"/>
    </row>
    <row r="128" spans="1:7" x14ac:dyDescent="0.25">
      <c r="A128" s="17"/>
      <c r="B128" s="17"/>
      <c r="C128" s="17"/>
      <c r="D128" s="17"/>
      <c r="E128" s="17"/>
      <c r="F128" s="17"/>
      <c r="G128" s="17"/>
    </row>
    <row r="129" spans="1:7" x14ac:dyDescent="0.25">
      <c r="A129" s="17"/>
      <c r="B129" s="17"/>
      <c r="C129" s="17"/>
      <c r="D129" s="17"/>
      <c r="E129" s="17"/>
      <c r="F129" s="17"/>
      <c r="G129" s="17"/>
    </row>
    <row r="130" spans="1:7" x14ac:dyDescent="0.25">
      <c r="A130" s="17"/>
      <c r="B130" s="17"/>
      <c r="C130" s="17"/>
      <c r="D130" s="17"/>
      <c r="E130" s="17"/>
      <c r="F130" s="17"/>
      <c r="G130" s="17"/>
    </row>
    <row r="131" spans="1:7" x14ac:dyDescent="0.25">
      <c r="A131" s="17"/>
      <c r="B131" s="17"/>
      <c r="C131" s="17"/>
      <c r="D131" s="17"/>
      <c r="E131" s="17"/>
      <c r="F131" s="17"/>
      <c r="G131" s="17"/>
    </row>
    <row r="132" spans="1:7" x14ac:dyDescent="0.25">
      <c r="A132" s="17"/>
      <c r="B132" s="17"/>
      <c r="C132" s="17"/>
      <c r="D132" s="17"/>
      <c r="E132" s="17"/>
      <c r="F132" s="17"/>
      <c r="G132" s="17"/>
    </row>
    <row r="133" spans="1:7" x14ac:dyDescent="0.25">
      <c r="A133" s="17"/>
      <c r="B133" s="17"/>
      <c r="C133" s="17"/>
      <c r="D133" s="17"/>
      <c r="E133" s="17"/>
      <c r="F133" s="17"/>
      <c r="G133" s="17"/>
    </row>
    <row r="134" spans="1:7" x14ac:dyDescent="0.25">
      <c r="A134" s="17"/>
      <c r="B134" s="17"/>
      <c r="C134" s="17"/>
      <c r="D134" s="17"/>
      <c r="E134" s="17"/>
      <c r="F134" s="17"/>
      <c r="G134" s="17"/>
    </row>
    <row r="135" spans="1:7" x14ac:dyDescent="0.25">
      <c r="A135" s="17"/>
      <c r="B135" s="17"/>
      <c r="C135" s="17"/>
      <c r="D135" s="17"/>
      <c r="E135" s="17"/>
      <c r="F135" s="17"/>
      <c r="G135" s="17"/>
    </row>
    <row r="136" spans="1:7" x14ac:dyDescent="0.25">
      <c r="A136" s="17"/>
      <c r="B136" s="17"/>
      <c r="C136" s="17"/>
      <c r="D136" s="17"/>
      <c r="E136" s="17"/>
      <c r="F136" s="17"/>
      <c r="G136" s="17"/>
    </row>
    <row r="137" spans="1:7" x14ac:dyDescent="0.25">
      <c r="A137" s="17"/>
      <c r="B137" s="17"/>
      <c r="C137" s="17"/>
      <c r="D137" s="17"/>
      <c r="E137" s="17"/>
      <c r="F137" s="17"/>
      <c r="G137" s="17"/>
    </row>
    <row r="138" spans="1:7" x14ac:dyDescent="0.25">
      <c r="A138" s="17"/>
      <c r="B138" s="17"/>
      <c r="C138" s="17"/>
      <c r="D138" s="17"/>
      <c r="E138" s="17"/>
      <c r="F138" s="17"/>
      <c r="G138" s="17"/>
    </row>
    <row r="139" spans="1:7" x14ac:dyDescent="0.25">
      <c r="A139" s="17"/>
      <c r="B139" s="17"/>
      <c r="C139" s="17"/>
      <c r="D139" s="17"/>
      <c r="E139" s="17"/>
      <c r="F139" s="17"/>
      <c r="G139" s="17"/>
    </row>
    <row r="140" spans="1:7" x14ac:dyDescent="0.25">
      <c r="A140" s="17"/>
      <c r="B140" s="17"/>
      <c r="C140" s="17"/>
      <c r="D140" s="17"/>
      <c r="E140" s="17"/>
      <c r="F140" s="17"/>
      <c r="G140" s="17"/>
    </row>
    <row r="141" spans="1:7" x14ac:dyDescent="0.25">
      <c r="A141" s="17"/>
      <c r="B141" s="17"/>
      <c r="C141" s="17"/>
      <c r="D141" s="17"/>
      <c r="E141" s="17"/>
      <c r="F141" s="17"/>
      <c r="G141" s="17"/>
    </row>
    <row r="142" spans="1:7" x14ac:dyDescent="0.25">
      <c r="A142" s="17"/>
      <c r="B142" s="17"/>
      <c r="C142" s="17"/>
      <c r="D142" s="17"/>
      <c r="E142" s="17"/>
      <c r="F142" s="17"/>
      <c r="G142" s="17"/>
    </row>
    <row r="143" spans="1:7" x14ac:dyDescent="0.25">
      <c r="A143" s="17"/>
      <c r="B143" s="17"/>
      <c r="C143" s="17"/>
      <c r="D143" s="17"/>
      <c r="E143" s="17"/>
      <c r="F143" s="17"/>
      <c r="G143" s="17"/>
    </row>
    <row r="144" spans="1:7" x14ac:dyDescent="0.25">
      <c r="A144" s="17"/>
      <c r="B144" s="17"/>
      <c r="C144" s="17"/>
      <c r="D144" s="17"/>
      <c r="E144" s="17"/>
      <c r="F144" s="17"/>
      <c r="G144" s="17"/>
    </row>
    <row r="145" spans="1:7" x14ac:dyDescent="0.25">
      <c r="A145" s="17"/>
      <c r="B145" s="17"/>
      <c r="C145" s="17"/>
      <c r="D145" s="17"/>
      <c r="E145" s="17"/>
      <c r="F145" s="17"/>
      <c r="G145" s="17"/>
    </row>
    <row r="146" spans="1:7" x14ac:dyDescent="0.25">
      <c r="A146" s="17"/>
      <c r="B146" s="17"/>
      <c r="C146" s="17"/>
      <c r="D146" s="17"/>
      <c r="E146" s="17"/>
      <c r="F146" s="17"/>
      <c r="G146" s="17"/>
    </row>
    <row r="147" spans="1:7" x14ac:dyDescent="0.25">
      <c r="A147" s="17"/>
      <c r="B147" s="17"/>
      <c r="C147" s="17"/>
      <c r="D147" s="17"/>
      <c r="E147" s="17"/>
      <c r="F147" s="17"/>
      <c r="G147" s="17"/>
    </row>
    <row r="148" spans="1:7" x14ac:dyDescent="0.25">
      <c r="A148" s="17"/>
      <c r="B148" s="17"/>
      <c r="C148" s="17"/>
      <c r="D148" s="17"/>
      <c r="E148" s="17"/>
      <c r="F148" s="17"/>
      <c r="G148" s="17"/>
    </row>
    <row r="149" spans="1:7" x14ac:dyDescent="0.25">
      <c r="A149" s="17"/>
      <c r="B149" s="17"/>
      <c r="C149" s="17"/>
      <c r="D149" s="17"/>
      <c r="E149" s="17"/>
      <c r="F149" s="17"/>
      <c r="G149" s="17"/>
    </row>
    <row r="150" spans="1:7" x14ac:dyDescent="0.25">
      <c r="A150" s="17"/>
      <c r="B150" s="17"/>
      <c r="C150" s="17"/>
      <c r="D150" s="17"/>
      <c r="E150" s="17"/>
      <c r="F150" s="17"/>
      <c r="G150" s="17"/>
    </row>
    <row r="151" spans="1:7" x14ac:dyDescent="0.25">
      <c r="A151" s="17"/>
      <c r="B151" s="17"/>
      <c r="C151" s="17"/>
      <c r="D151" s="17"/>
      <c r="E151" s="17"/>
      <c r="F151" s="17"/>
      <c r="G151" s="17"/>
    </row>
    <row r="152" spans="1:7" x14ac:dyDescent="0.25">
      <c r="A152" s="17"/>
      <c r="B152" s="17"/>
      <c r="C152" s="17"/>
      <c r="D152" s="17"/>
      <c r="E152" s="17"/>
      <c r="F152" s="17"/>
      <c r="G152" s="17"/>
    </row>
    <row r="153" spans="1:7" x14ac:dyDescent="0.25">
      <c r="A153" s="17"/>
      <c r="B153" s="17"/>
      <c r="C153" s="17"/>
      <c r="D153" s="17"/>
      <c r="E153" s="17"/>
      <c r="F153" s="17"/>
      <c r="G153" s="17"/>
    </row>
    <row r="154" spans="1:7" x14ac:dyDescent="0.25">
      <c r="A154" s="17"/>
      <c r="B154" s="17"/>
      <c r="C154" s="17"/>
      <c r="D154" s="17"/>
      <c r="E154" s="17"/>
      <c r="F154" s="17"/>
      <c r="G154" s="17"/>
    </row>
    <row r="155" spans="1:7" x14ac:dyDescent="0.25">
      <c r="A155" s="17"/>
      <c r="B155" s="17"/>
      <c r="C155" s="17"/>
      <c r="D155" s="17"/>
      <c r="E155" s="17"/>
      <c r="F155" s="17"/>
      <c r="G155" s="17"/>
    </row>
    <row r="156" spans="1:7" x14ac:dyDescent="0.25">
      <c r="A156" s="17"/>
      <c r="B156" s="17"/>
      <c r="C156" s="17"/>
      <c r="D156" s="17"/>
      <c r="E156" s="17"/>
      <c r="F156" s="17"/>
      <c r="G156" s="17"/>
    </row>
    <row r="157" spans="1:7" x14ac:dyDescent="0.25">
      <c r="A157" s="17"/>
      <c r="B157" s="17"/>
      <c r="C157" s="17"/>
      <c r="D157" s="17"/>
      <c r="E157" s="17"/>
      <c r="F157" s="17"/>
      <c r="G157" s="17"/>
    </row>
    <row r="158" spans="1:7" x14ac:dyDescent="0.25">
      <c r="A158" s="17"/>
      <c r="B158" s="17"/>
      <c r="C158" s="17"/>
      <c r="D158" s="17"/>
      <c r="E158" s="17"/>
      <c r="F158" s="17"/>
      <c r="G158" s="17"/>
    </row>
    <row r="159" spans="1:7" x14ac:dyDescent="0.25">
      <c r="A159" s="17"/>
      <c r="B159" s="17"/>
      <c r="C159" s="17"/>
      <c r="D159" s="17"/>
      <c r="E159" s="17"/>
      <c r="F159" s="17"/>
      <c r="G159" s="17"/>
    </row>
    <row r="160" spans="1:7" x14ac:dyDescent="0.25">
      <c r="A160" s="17"/>
      <c r="B160" s="17"/>
      <c r="C160" s="17"/>
      <c r="D160" s="17"/>
      <c r="E160" s="17"/>
      <c r="F160" s="17"/>
      <c r="G160" s="17"/>
    </row>
    <row r="161" spans="1:7" x14ac:dyDescent="0.25">
      <c r="A161" s="17"/>
      <c r="B161" s="17"/>
      <c r="C161" s="17"/>
      <c r="D161" s="17"/>
      <c r="E161" s="17"/>
      <c r="F161" s="17"/>
      <c r="G161" s="17"/>
    </row>
    <row r="162" spans="1:7" x14ac:dyDescent="0.25">
      <c r="A162" s="17"/>
      <c r="B162" s="17"/>
      <c r="C162" s="17"/>
      <c r="D162" s="17"/>
      <c r="E162" s="17"/>
      <c r="F162" s="17"/>
      <c r="G162" s="17"/>
    </row>
    <row r="163" spans="1:7" x14ac:dyDescent="0.25">
      <c r="A163" s="17"/>
      <c r="B163" s="17"/>
      <c r="C163" s="17"/>
      <c r="D163" s="17"/>
      <c r="E163" s="17"/>
      <c r="F163" s="17"/>
      <c r="G163" s="17"/>
    </row>
    <row r="164" spans="1:7" x14ac:dyDescent="0.25">
      <c r="A164" s="17"/>
      <c r="B164" s="17"/>
      <c r="C164" s="17"/>
      <c r="D164" s="17"/>
      <c r="E164" s="17"/>
      <c r="F164" s="17"/>
      <c r="G164" s="17"/>
    </row>
    <row r="165" spans="1:7" x14ac:dyDescent="0.25">
      <c r="A165" s="17"/>
      <c r="B165" s="17"/>
      <c r="C165" s="17"/>
      <c r="D165" s="17"/>
      <c r="E165" s="17"/>
      <c r="F165" s="17"/>
      <c r="G165" s="17"/>
    </row>
    <row r="166" spans="1:7" x14ac:dyDescent="0.25">
      <c r="A166" s="17"/>
      <c r="B166" s="17"/>
      <c r="C166" s="17"/>
      <c r="D166" s="17"/>
      <c r="E166" s="17"/>
      <c r="F166" s="17"/>
      <c r="G166" s="17"/>
    </row>
    <row r="167" spans="1:7" x14ac:dyDescent="0.25">
      <c r="A167" s="17"/>
      <c r="B167" s="17"/>
      <c r="C167" s="17"/>
      <c r="D167" s="17"/>
      <c r="E167" s="17"/>
      <c r="F167" s="17"/>
      <c r="G167" s="17"/>
    </row>
    <row r="168" spans="1:7" x14ac:dyDescent="0.25">
      <c r="A168" s="17"/>
      <c r="B168" s="17"/>
      <c r="C168" s="17"/>
      <c r="D168" s="17"/>
      <c r="E168" s="17"/>
      <c r="F168" s="17"/>
      <c r="G168" s="17"/>
    </row>
    <row r="169" spans="1:7" x14ac:dyDescent="0.25">
      <c r="A169" s="17"/>
      <c r="B169" s="17"/>
      <c r="C169" s="17"/>
      <c r="D169" s="17"/>
      <c r="E169" s="17"/>
      <c r="F169" s="17"/>
      <c r="G169" s="17"/>
    </row>
    <row r="170" spans="1:7" x14ac:dyDescent="0.25">
      <c r="A170" s="17"/>
      <c r="B170" s="17"/>
      <c r="C170" s="17"/>
      <c r="D170" s="17"/>
      <c r="E170" s="17"/>
      <c r="F170" s="17"/>
      <c r="G170" s="17"/>
    </row>
    <row r="171" spans="1:7" x14ac:dyDescent="0.25">
      <c r="A171" s="17"/>
      <c r="B171" s="17"/>
      <c r="C171" s="17"/>
      <c r="D171" s="17"/>
      <c r="E171" s="17"/>
      <c r="F171" s="17"/>
      <c r="G171" s="17"/>
    </row>
    <row r="172" spans="1:7" x14ac:dyDescent="0.25">
      <c r="A172" s="17"/>
      <c r="B172" s="17"/>
      <c r="C172" s="17"/>
      <c r="D172" s="17"/>
      <c r="E172" s="17"/>
      <c r="F172" s="17"/>
      <c r="G172" s="17"/>
    </row>
    <row r="173" spans="1:7" x14ac:dyDescent="0.25">
      <c r="A173" s="17"/>
      <c r="B173" s="17"/>
      <c r="C173" s="17"/>
      <c r="D173" s="17"/>
      <c r="E173" s="17"/>
      <c r="F173" s="17"/>
      <c r="G173" s="17"/>
    </row>
    <row r="174" spans="1:7" x14ac:dyDescent="0.25">
      <c r="A174" s="17"/>
      <c r="B174" s="17"/>
      <c r="C174" s="17"/>
      <c r="D174" s="17"/>
      <c r="E174" s="17"/>
      <c r="F174" s="17"/>
      <c r="G174" s="17"/>
    </row>
    <row r="175" spans="1:7" x14ac:dyDescent="0.25">
      <c r="A175" s="17"/>
      <c r="B175" s="17"/>
      <c r="C175" s="17"/>
      <c r="D175" s="17"/>
      <c r="E175" s="17"/>
      <c r="F175" s="17"/>
      <c r="G175" s="17"/>
    </row>
    <row r="176" spans="1:7" x14ac:dyDescent="0.25">
      <c r="A176" s="17"/>
      <c r="B176" s="17"/>
      <c r="C176" s="17"/>
      <c r="D176" s="17"/>
      <c r="E176" s="17"/>
      <c r="F176" s="17"/>
      <c r="G176" s="17"/>
    </row>
    <row r="177" spans="1:7" x14ac:dyDescent="0.25">
      <c r="A177" s="17"/>
      <c r="B177" s="17"/>
      <c r="C177" s="17"/>
      <c r="D177" s="17"/>
      <c r="E177" s="17"/>
      <c r="F177" s="17"/>
      <c r="G177" s="17"/>
    </row>
    <row r="178" spans="1:7" x14ac:dyDescent="0.25">
      <c r="A178" s="17"/>
      <c r="B178" s="17"/>
      <c r="C178" s="17"/>
      <c r="D178" s="17"/>
      <c r="E178" s="17"/>
      <c r="F178" s="17"/>
      <c r="G178" s="17"/>
    </row>
    <row r="179" spans="1:7" x14ac:dyDescent="0.25">
      <c r="A179" s="17"/>
      <c r="B179" s="17"/>
      <c r="C179" s="17"/>
      <c r="D179" s="17"/>
      <c r="E179" s="17"/>
      <c r="F179" s="17"/>
      <c r="G179" s="17"/>
    </row>
    <row r="180" spans="1:7" x14ac:dyDescent="0.25">
      <c r="A180" s="17"/>
      <c r="B180" s="17"/>
      <c r="C180" s="17"/>
      <c r="D180" s="17"/>
      <c r="E180" s="17"/>
      <c r="F180" s="17"/>
      <c r="G180" s="17"/>
    </row>
    <row r="181" spans="1:7" x14ac:dyDescent="0.25">
      <c r="A181" s="17"/>
      <c r="B181" s="17"/>
      <c r="C181" s="17"/>
      <c r="D181" s="17"/>
      <c r="E181" s="17"/>
      <c r="F181" s="17"/>
      <c r="G181" s="17"/>
    </row>
    <row r="182" spans="1:7" x14ac:dyDescent="0.25">
      <c r="A182" s="17"/>
      <c r="B182" s="17"/>
      <c r="C182" s="17"/>
      <c r="D182" s="17"/>
      <c r="E182" s="17"/>
      <c r="F182" s="17"/>
      <c r="G182" s="17"/>
    </row>
    <row r="183" spans="1:7" x14ac:dyDescent="0.25">
      <c r="A183" s="17"/>
      <c r="B183" s="17"/>
      <c r="C183" s="17"/>
      <c r="D183" s="17"/>
      <c r="E183" s="17"/>
      <c r="F183" s="17"/>
      <c r="G183" s="17"/>
    </row>
    <row r="184" spans="1:7" x14ac:dyDescent="0.25">
      <c r="A184" s="17"/>
      <c r="B184" s="17"/>
      <c r="C184" s="17"/>
      <c r="D184" s="17"/>
      <c r="E184" s="17"/>
      <c r="F184" s="17"/>
      <c r="G184" s="17"/>
    </row>
    <row r="185" spans="1:7" x14ac:dyDescent="0.25">
      <c r="A185" s="17"/>
      <c r="B185" s="17"/>
      <c r="C185" s="17"/>
      <c r="D185" s="17"/>
      <c r="E185" s="17"/>
      <c r="F185" s="17"/>
      <c r="G185" s="17"/>
    </row>
    <row r="186" spans="1:7" x14ac:dyDescent="0.25">
      <c r="A186" s="17"/>
      <c r="B186" s="17"/>
      <c r="C186" s="17"/>
      <c r="D186" s="17"/>
      <c r="E186" s="17"/>
      <c r="F186" s="17"/>
      <c r="G186" s="17"/>
    </row>
    <row r="187" spans="1:7" x14ac:dyDescent="0.25">
      <c r="A187" s="17"/>
      <c r="B187" s="17"/>
      <c r="C187" s="17"/>
      <c r="D187" s="17"/>
      <c r="E187" s="17"/>
      <c r="F187" s="17"/>
      <c r="G187" s="17"/>
    </row>
    <row r="188" spans="1:7" x14ac:dyDescent="0.25">
      <c r="A188" s="17"/>
      <c r="B188" s="17"/>
      <c r="C188" s="17"/>
      <c r="D188" s="17"/>
      <c r="E188" s="17"/>
      <c r="F188" s="17"/>
      <c r="G188" s="17"/>
    </row>
    <row r="189" spans="1:7" x14ac:dyDescent="0.25">
      <c r="A189" s="17"/>
      <c r="B189" s="17"/>
      <c r="C189" s="17"/>
      <c r="D189" s="17"/>
      <c r="E189" s="17"/>
      <c r="F189" s="17"/>
      <c r="G189" s="17"/>
    </row>
    <row r="190" spans="1:7" x14ac:dyDescent="0.25">
      <c r="A190" s="17"/>
      <c r="B190" s="17"/>
      <c r="C190" s="17"/>
      <c r="D190" s="17"/>
      <c r="E190" s="17"/>
      <c r="F190" s="17"/>
      <c r="G190" s="17"/>
    </row>
    <row r="191" spans="1:7" x14ac:dyDescent="0.25">
      <c r="A191" s="17"/>
      <c r="B191" s="17"/>
      <c r="C191" s="17"/>
      <c r="D191" s="17"/>
      <c r="E191" s="17"/>
      <c r="F191" s="17"/>
      <c r="G191" s="17"/>
    </row>
    <row r="192" spans="1:7" x14ac:dyDescent="0.25">
      <c r="A192" s="17"/>
      <c r="B192" s="17"/>
      <c r="C192" s="17"/>
      <c r="D192" s="17"/>
      <c r="E192" s="17"/>
      <c r="F192" s="17"/>
      <c r="G192" s="17"/>
    </row>
    <row r="193" spans="1:7" x14ac:dyDescent="0.25">
      <c r="A193" s="17"/>
      <c r="B193" s="17"/>
      <c r="C193" s="17"/>
      <c r="D193" s="17"/>
      <c r="E193" s="17"/>
      <c r="F193" s="17"/>
      <c r="G193" s="17"/>
    </row>
    <row r="194" spans="1:7" x14ac:dyDescent="0.25">
      <c r="A194" s="17"/>
      <c r="B194" s="17"/>
      <c r="C194" s="17"/>
      <c r="D194" s="17"/>
      <c r="E194" s="17"/>
      <c r="F194" s="17"/>
      <c r="G194" s="17"/>
    </row>
    <row r="195" spans="1:7" x14ac:dyDescent="0.25">
      <c r="A195" s="17"/>
      <c r="B195" s="17"/>
      <c r="C195" s="17"/>
      <c r="D195" s="17"/>
      <c r="E195" s="17"/>
      <c r="F195" s="17"/>
      <c r="G195" s="17"/>
    </row>
    <row r="196" spans="1:7" x14ac:dyDescent="0.25">
      <c r="A196" s="17"/>
      <c r="B196" s="17"/>
      <c r="C196" s="17"/>
      <c r="D196" s="17"/>
      <c r="E196" s="17"/>
      <c r="F196" s="17"/>
      <c r="G196" s="17"/>
    </row>
    <row r="197" spans="1:7" x14ac:dyDescent="0.25">
      <c r="A197" s="17"/>
      <c r="B197" s="17"/>
      <c r="C197" s="17"/>
      <c r="D197" s="17"/>
      <c r="E197" s="17"/>
      <c r="F197" s="17"/>
      <c r="G197" s="17"/>
    </row>
    <row r="198" spans="1:7" x14ac:dyDescent="0.25">
      <c r="A198" s="17"/>
      <c r="B198" s="17"/>
      <c r="C198" s="17"/>
      <c r="D198" s="17"/>
      <c r="E198" s="17"/>
      <c r="F198" s="17"/>
      <c r="G198" s="17"/>
    </row>
    <row r="199" spans="1:7" x14ac:dyDescent="0.25">
      <c r="A199" s="17"/>
      <c r="B199" s="17"/>
      <c r="C199" s="17"/>
      <c r="D199" s="17"/>
      <c r="E199" s="17"/>
      <c r="F199" s="17"/>
      <c r="G199" s="17"/>
    </row>
    <row r="200" spans="1:7" x14ac:dyDescent="0.25">
      <c r="A200" s="17"/>
      <c r="B200" s="17"/>
      <c r="C200" s="17"/>
      <c r="D200" s="17"/>
      <c r="E200" s="17"/>
      <c r="F200" s="17"/>
      <c r="G200" s="17"/>
    </row>
    <row r="201" spans="1:7" x14ac:dyDescent="0.25">
      <c r="A201" s="17"/>
      <c r="B201" s="17"/>
      <c r="C201" s="17"/>
      <c r="D201" s="17"/>
      <c r="E201" s="17"/>
      <c r="F201" s="17"/>
      <c r="G201" s="17"/>
    </row>
    <row r="202" spans="1:7" x14ac:dyDescent="0.25">
      <c r="A202" s="17"/>
      <c r="B202" s="17"/>
      <c r="C202" s="17"/>
      <c r="D202" s="17"/>
      <c r="E202" s="17"/>
      <c r="F202" s="17"/>
      <c r="G202" s="17"/>
    </row>
    <row r="203" spans="1:7" x14ac:dyDescent="0.25">
      <c r="A203" s="17"/>
      <c r="B203" s="17"/>
      <c r="C203" s="17"/>
      <c r="D203" s="17"/>
      <c r="E203" s="17"/>
      <c r="F203" s="17"/>
      <c r="G203" s="17"/>
    </row>
    <row r="204" spans="1:7" x14ac:dyDescent="0.25">
      <c r="A204" s="17"/>
      <c r="B204" s="17"/>
      <c r="C204" s="17"/>
      <c r="D204" s="17"/>
      <c r="E204" s="17"/>
      <c r="F204" s="17"/>
      <c r="G204" s="17"/>
    </row>
    <row r="205" spans="1:7" x14ac:dyDescent="0.25">
      <c r="A205" s="17"/>
      <c r="B205" s="17"/>
      <c r="C205" s="17"/>
      <c r="D205" s="17"/>
      <c r="E205" s="17"/>
      <c r="F205" s="17"/>
      <c r="G205" s="17"/>
    </row>
    <row r="206" spans="1:7" x14ac:dyDescent="0.25">
      <c r="A206" s="17"/>
      <c r="B206" s="17"/>
      <c r="C206" s="17"/>
      <c r="D206" s="17"/>
      <c r="E206" s="17"/>
      <c r="F206" s="17"/>
      <c r="G206" s="17"/>
    </row>
    <row r="207" spans="1:7" x14ac:dyDescent="0.25">
      <c r="A207" s="17"/>
      <c r="B207" s="17"/>
      <c r="C207" s="17"/>
      <c r="D207" s="17"/>
      <c r="E207" s="17"/>
      <c r="F207" s="17"/>
      <c r="G207" s="17"/>
    </row>
    <row r="208" spans="1:7" x14ac:dyDescent="0.25">
      <c r="A208" s="17"/>
      <c r="B208" s="17"/>
      <c r="C208" s="17"/>
      <c r="D208" s="17"/>
      <c r="E208" s="17"/>
      <c r="F208" s="17"/>
      <c r="G208" s="17"/>
    </row>
    <row r="209" spans="1:7" x14ac:dyDescent="0.25">
      <c r="A209" s="17"/>
      <c r="B209" s="17"/>
      <c r="C209" s="17"/>
      <c r="D209" s="17"/>
      <c r="E209" s="17"/>
      <c r="F209" s="17"/>
      <c r="G209" s="17"/>
    </row>
    <row r="210" spans="1:7" x14ac:dyDescent="0.25">
      <c r="A210" s="17"/>
      <c r="B210" s="17"/>
      <c r="C210" s="17"/>
      <c r="D210" s="17"/>
      <c r="E210" s="17"/>
      <c r="F210" s="17"/>
      <c r="G210" s="17"/>
    </row>
    <row r="211" spans="1:7" x14ac:dyDescent="0.25">
      <c r="A211" s="17"/>
      <c r="B211" s="17"/>
      <c r="C211" s="17"/>
      <c r="D211" s="17"/>
      <c r="E211" s="17"/>
      <c r="F211" s="17"/>
      <c r="G211" s="17"/>
    </row>
    <row r="212" spans="1:7" x14ac:dyDescent="0.25">
      <c r="A212" s="17"/>
      <c r="B212" s="17"/>
      <c r="C212" s="17"/>
      <c r="D212" s="17"/>
      <c r="E212" s="17"/>
      <c r="F212" s="17"/>
      <c r="G212" s="17"/>
    </row>
    <row r="213" spans="1:7" x14ac:dyDescent="0.25">
      <c r="A213" s="17"/>
      <c r="B213" s="17"/>
      <c r="C213" s="17"/>
      <c r="D213" s="17"/>
      <c r="E213" s="17"/>
      <c r="F213" s="17"/>
      <c r="G213" s="17"/>
    </row>
    <row r="214" spans="1:7" x14ac:dyDescent="0.25">
      <c r="A214" s="17"/>
      <c r="B214" s="17"/>
      <c r="C214" s="17"/>
      <c r="D214" s="17"/>
      <c r="E214" s="17"/>
      <c r="F214" s="17"/>
      <c r="G214" s="17"/>
    </row>
    <row r="215" spans="1:7" x14ac:dyDescent="0.25">
      <c r="A215" s="17"/>
      <c r="B215" s="17"/>
      <c r="C215" s="17"/>
      <c r="D215" s="17"/>
      <c r="E215" s="17"/>
      <c r="F215" s="17"/>
      <c r="G215" s="17"/>
    </row>
  </sheetData>
  <conditionalFormatting sqref="A7:A8 A9:G11 A12 A13:G56">
    <cfRule type="expression" dxfId="17" priority="46">
      <formula>$A7="4 WEEKS"</formula>
    </cfRule>
    <cfRule type="expression" dxfId="16" priority="47">
      <formula>$A7="PENDING"</formula>
    </cfRule>
    <cfRule type="expression" dxfId="15" priority="48">
      <formula>$A7="2 WEEKS"</formula>
    </cfRule>
  </conditionalFormatting>
  <conditionalFormatting sqref="B7:G7">
    <cfRule type="expression" dxfId="14" priority="1">
      <formula>$A8="4 WEEKS"</formula>
    </cfRule>
    <cfRule type="expression" dxfId="13" priority="2">
      <formula>$A8="PENDING"</formula>
    </cfRule>
    <cfRule type="expression" dxfId="12" priority="3">
      <formula>$A8="2 WEEKS"</formula>
    </cfRule>
  </conditionalFormatting>
  <conditionalFormatting sqref="B7:G8">
    <cfRule type="expression" dxfId="11" priority="7">
      <formula>$A7="4 WEEKS"</formula>
    </cfRule>
    <cfRule type="expression" dxfId="10" priority="8">
      <formula>$A7="PENDING"</formula>
    </cfRule>
    <cfRule type="expression" dxfId="9" priority="9">
      <formula>$A7="2 WEEKS"</formula>
    </cfRule>
  </conditionalFormatting>
  <conditionalFormatting sqref="B8:G8">
    <cfRule type="expression" dxfId="8" priority="4">
      <formula>$A8="4 WEEKS"</formula>
    </cfRule>
    <cfRule type="expression" dxfId="7" priority="5">
      <formula>$A8="PENDING"</formula>
    </cfRule>
    <cfRule type="expression" dxfId="6" priority="6">
      <formula>$A8="2 WEEKS"</formula>
    </cfRule>
    <cfRule type="expression" dxfId="5" priority="13">
      <formula>$A9="4 WEEKS"</formula>
    </cfRule>
    <cfRule type="expression" dxfId="4" priority="14">
      <formula>$A9="PENDING"</formula>
    </cfRule>
    <cfRule type="expression" dxfId="3" priority="15">
      <formula>$A9="2 WEEKS"</formula>
    </cfRule>
  </conditionalFormatting>
  <conditionalFormatting sqref="B12:G12">
    <cfRule type="expression" dxfId="2" priority="28">
      <formula>$A13="4 WEEKS"</formula>
    </cfRule>
    <cfRule type="expression" dxfId="1" priority="29">
      <formula>$A13="PENDING"</formula>
    </cfRule>
    <cfRule type="expression" dxfId="0" priority="30">
      <formula>$A13="2 WEEKS"</formula>
    </cfRule>
  </conditionalFormatting>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02A195A-A1E8-4481-9675-365FDF2DE983}">
          <x14:formula1>
            <xm:f>Drops!$A$1:$A$3</xm:f>
          </x14:formula1>
          <xm:sqref>A7:A56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B18A3-B089-4A7A-885C-D760D2307CD8}">
  <dimension ref="A2:H4"/>
  <sheetViews>
    <sheetView showGridLines="0" workbookViewId="0">
      <selection activeCell="D28" sqref="D28"/>
    </sheetView>
  </sheetViews>
  <sheetFormatPr defaultRowHeight="15" x14ac:dyDescent="0.25"/>
  <cols>
    <col min="1" max="6" width="25.7109375" customWidth="1"/>
    <col min="7" max="7" width="19.28515625" customWidth="1"/>
    <col min="8" max="8" width="35.42578125" bestFit="1" customWidth="1"/>
  </cols>
  <sheetData>
    <row r="2" spans="1:8" ht="26.25" x14ac:dyDescent="0.4">
      <c r="A2" s="3" t="s">
        <v>25</v>
      </c>
    </row>
    <row r="3" spans="1:8" x14ac:dyDescent="0.25">
      <c r="A3" s="16" t="s">
        <v>9</v>
      </c>
      <c r="B3" s="16" t="s">
        <v>10</v>
      </c>
      <c r="C3" s="16" t="s">
        <v>12</v>
      </c>
      <c r="D3" s="16" t="s">
        <v>11</v>
      </c>
      <c r="E3" s="16" t="s">
        <v>13</v>
      </c>
      <c r="F3" s="16" t="s">
        <v>14</v>
      </c>
      <c r="G3" s="16" t="s">
        <v>28</v>
      </c>
      <c r="H3" s="16" t="s">
        <v>44</v>
      </c>
    </row>
    <row r="4" spans="1:8" x14ac:dyDescent="0.25">
      <c r="E4" s="177"/>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1BED759-A16D-4496-AEF9-B0347E31DCFF}">
          <x14:formula1>
            <xm:f>Drops!$C$1:$C$4</xm:f>
          </x14:formula1>
          <xm:sqref>D4:D496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34F6-7081-4EB4-954A-212FCFF52578}">
  <dimension ref="A1"/>
  <sheetViews>
    <sheetView workbookViewId="0">
      <selection activeCell="K38" sqref="K38"/>
    </sheetView>
  </sheetViews>
  <sheetFormatPr defaultRowHeight="15" x14ac:dyDescent="0.25"/>
  <cols>
    <col min="11" max="11" width="0" hidden="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322A-FD4B-4D0B-9840-47E9A427B1A9}">
  <dimension ref="A2:D42"/>
  <sheetViews>
    <sheetView showGridLines="0" workbookViewId="0">
      <selection activeCell="D15" sqref="D15"/>
    </sheetView>
  </sheetViews>
  <sheetFormatPr defaultColWidth="9.140625" defaultRowHeight="15" x14ac:dyDescent="0.25"/>
  <cols>
    <col min="1" max="4" width="45.7109375" customWidth="1"/>
  </cols>
  <sheetData>
    <row r="2" spans="1:4" ht="27" thickBot="1" x14ac:dyDescent="0.45">
      <c r="A2" s="3" t="s">
        <v>26</v>
      </c>
    </row>
    <row r="3" spans="1:4" ht="16.5" thickBot="1" x14ac:dyDescent="0.3">
      <c r="A3" s="189" t="s">
        <v>34</v>
      </c>
      <c r="B3" s="190"/>
      <c r="C3" s="190"/>
      <c r="D3" s="191"/>
    </row>
    <row r="4" spans="1:4" x14ac:dyDescent="0.25">
      <c r="A4" s="25" t="s">
        <v>29</v>
      </c>
      <c r="B4" s="26" t="s">
        <v>30</v>
      </c>
      <c r="C4" s="26" t="s">
        <v>31</v>
      </c>
      <c r="D4" s="81" t="s">
        <v>32</v>
      </c>
    </row>
    <row r="5" spans="1:4" x14ac:dyDescent="0.25">
      <c r="A5" s="92"/>
      <c r="B5" s="93"/>
      <c r="C5" s="93"/>
      <c r="D5" s="94"/>
    </row>
    <row r="6" spans="1:4" x14ac:dyDescent="0.25">
      <c r="A6" s="92"/>
      <c r="B6" s="93"/>
      <c r="C6" s="93"/>
      <c r="D6" s="94"/>
    </row>
    <row r="7" spans="1:4" x14ac:dyDescent="0.25">
      <c r="A7" s="92"/>
      <c r="B7" s="93"/>
      <c r="C7" s="93"/>
      <c r="D7" s="94"/>
    </row>
    <row r="8" spans="1:4" x14ac:dyDescent="0.25">
      <c r="A8" s="92"/>
      <c r="B8" s="93"/>
      <c r="C8" s="93"/>
      <c r="D8" s="94"/>
    </row>
    <row r="9" spans="1:4" x14ac:dyDescent="0.25">
      <c r="A9" s="92"/>
      <c r="B9" s="93"/>
      <c r="C9" s="93"/>
      <c r="D9" s="94"/>
    </row>
    <row r="10" spans="1:4" ht="15.75" thickBot="1" x14ac:dyDescent="0.3">
      <c r="A10" s="104"/>
      <c r="B10" s="105"/>
      <c r="C10" s="105"/>
      <c r="D10" s="106"/>
    </row>
    <row r="12" spans="1:4" ht="15.75" thickBot="1" x14ac:dyDescent="0.3"/>
    <row r="13" spans="1:4" ht="16.5" thickBot="1" x14ac:dyDescent="0.3">
      <c r="A13" s="192" t="s">
        <v>47</v>
      </c>
      <c r="B13" s="193"/>
      <c r="C13" s="193"/>
      <c r="D13" s="194"/>
    </row>
    <row r="14" spans="1:4" x14ac:dyDescent="0.25">
      <c r="A14" s="83" t="s">
        <v>29</v>
      </c>
      <c r="B14" s="84" t="s">
        <v>30</v>
      </c>
      <c r="C14" s="84" t="s">
        <v>31</v>
      </c>
      <c r="D14" s="85" t="s">
        <v>32</v>
      </c>
    </row>
    <row r="15" spans="1:4" x14ac:dyDescent="0.25">
      <c r="A15" s="95"/>
      <c r="B15" s="96"/>
      <c r="C15" s="96"/>
      <c r="D15" s="97"/>
    </row>
    <row r="16" spans="1:4" x14ac:dyDescent="0.25">
      <c r="A16" s="95"/>
      <c r="B16" s="96"/>
      <c r="C16" s="96"/>
      <c r="D16" s="97"/>
    </row>
    <row r="17" spans="1:4" x14ac:dyDescent="0.25">
      <c r="A17" s="95"/>
      <c r="B17" s="96"/>
      <c r="C17" s="96"/>
      <c r="D17" s="97"/>
    </row>
    <row r="18" spans="1:4" x14ac:dyDescent="0.25">
      <c r="A18" s="95"/>
      <c r="B18" s="96"/>
      <c r="C18" s="96"/>
      <c r="D18" s="97"/>
    </row>
    <row r="19" spans="1:4" x14ac:dyDescent="0.25">
      <c r="A19" s="95"/>
      <c r="B19" s="96"/>
      <c r="C19" s="96"/>
      <c r="D19" s="97"/>
    </row>
    <row r="20" spans="1:4" ht="15.75" thickBot="1" x14ac:dyDescent="0.3">
      <c r="A20" s="107"/>
      <c r="B20" s="108"/>
      <c r="C20" s="108"/>
      <c r="D20" s="109"/>
    </row>
    <row r="22" spans="1:4" ht="15.75" thickBot="1" x14ac:dyDescent="0.3"/>
    <row r="23" spans="1:4" ht="16.5" thickBot="1" x14ac:dyDescent="0.3">
      <c r="A23" s="183" t="s">
        <v>48</v>
      </c>
      <c r="B23" s="184"/>
      <c r="C23" s="184"/>
      <c r="D23" s="185"/>
    </row>
    <row r="24" spans="1:4" x14ac:dyDescent="0.25">
      <c r="A24" s="86" t="s">
        <v>29</v>
      </c>
      <c r="B24" s="87" t="s">
        <v>30</v>
      </c>
      <c r="C24" s="87" t="s">
        <v>31</v>
      </c>
      <c r="D24" s="88" t="s">
        <v>32</v>
      </c>
    </row>
    <row r="25" spans="1:4" x14ac:dyDescent="0.25">
      <c r="A25" s="98"/>
      <c r="B25" s="99"/>
      <c r="C25" s="99"/>
      <c r="D25" s="100"/>
    </row>
    <row r="26" spans="1:4" x14ac:dyDescent="0.25">
      <c r="A26" s="98"/>
      <c r="B26" s="99"/>
      <c r="C26" s="99"/>
      <c r="D26" s="100"/>
    </row>
    <row r="27" spans="1:4" x14ac:dyDescent="0.25">
      <c r="A27" s="98"/>
      <c r="B27" s="99"/>
      <c r="C27" s="99"/>
      <c r="D27" s="100"/>
    </row>
    <row r="28" spans="1:4" x14ac:dyDescent="0.25">
      <c r="A28" s="98"/>
      <c r="B28" s="99"/>
      <c r="C28" s="99"/>
      <c r="D28" s="100"/>
    </row>
    <row r="29" spans="1:4" x14ac:dyDescent="0.25">
      <c r="A29" s="98"/>
      <c r="B29" s="99"/>
      <c r="C29" s="99"/>
      <c r="D29" s="100"/>
    </row>
    <row r="30" spans="1:4" ht="15.75" thickBot="1" x14ac:dyDescent="0.3">
      <c r="A30" s="110"/>
      <c r="B30" s="111"/>
      <c r="C30" s="111"/>
      <c r="D30" s="112"/>
    </row>
    <row r="31" spans="1:4" x14ac:dyDescent="0.25">
      <c r="A31" s="82"/>
      <c r="B31" s="82"/>
      <c r="C31" s="82"/>
      <c r="D31" s="82"/>
    </row>
    <row r="32" spans="1:4" ht="15.75" thickBot="1" x14ac:dyDescent="0.3">
      <c r="A32" s="82"/>
      <c r="B32" s="82"/>
      <c r="C32" s="82"/>
      <c r="D32" s="82"/>
    </row>
    <row r="33" spans="1:4" ht="16.5" thickBot="1" x14ac:dyDescent="0.3">
      <c r="A33" s="186" t="s">
        <v>33</v>
      </c>
      <c r="B33" s="187"/>
      <c r="C33" s="187"/>
      <c r="D33" s="188"/>
    </row>
    <row r="34" spans="1:4" x14ac:dyDescent="0.25">
      <c r="A34" s="89" t="s">
        <v>29</v>
      </c>
      <c r="B34" s="90" t="s">
        <v>30</v>
      </c>
      <c r="C34" s="90" t="s">
        <v>31</v>
      </c>
      <c r="D34" s="91" t="s">
        <v>32</v>
      </c>
    </row>
    <row r="35" spans="1:4" x14ac:dyDescent="0.25">
      <c r="A35" s="101"/>
      <c r="B35" s="102"/>
      <c r="C35" s="102"/>
      <c r="D35" s="103"/>
    </row>
    <row r="36" spans="1:4" x14ac:dyDescent="0.25">
      <c r="A36" s="101"/>
      <c r="B36" s="102"/>
      <c r="C36" s="102"/>
      <c r="D36" s="103"/>
    </row>
    <row r="37" spans="1:4" x14ac:dyDescent="0.25">
      <c r="A37" s="101"/>
      <c r="B37" s="102"/>
      <c r="C37" s="102"/>
      <c r="D37" s="103"/>
    </row>
    <row r="38" spans="1:4" x14ac:dyDescent="0.25">
      <c r="A38" s="101"/>
      <c r="B38" s="102"/>
      <c r="C38" s="102"/>
      <c r="D38" s="103"/>
    </row>
    <row r="39" spans="1:4" x14ac:dyDescent="0.25">
      <c r="A39" s="101"/>
      <c r="B39" s="102"/>
      <c r="C39" s="102"/>
      <c r="D39" s="103"/>
    </row>
    <row r="40" spans="1:4" ht="15.75" thickBot="1" x14ac:dyDescent="0.3">
      <c r="A40" s="113"/>
      <c r="B40" s="114"/>
      <c r="C40" s="114"/>
      <c r="D40" s="115"/>
    </row>
    <row r="41" spans="1:4" x14ac:dyDescent="0.25">
      <c r="A41" s="82"/>
      <c r="B41" s="82"/>
      <c r="C41" s="82"/>
      <c r="D41" s="82"/>
    </row>
    <row r="42" spans="1:4" x14ac:dyDescent="0.25">
      <c r="A42" s="82"/>
      <c r="B42" s="82"/>
      <c r="C42" s="82"/>
      <c r="D42" s="82"/>
    </row>
  </sheetData>
  <sheetProtection algorithmName="SHA-512" hashValue="JPqVMhbc1RGrjE9DJn4rI94ZsE2w4zjdYGDNtFRTNnr/BwZi/5h0nAVJO96mbIlfs/pQ9AfF9Orim7WAScW5BA==" saltValue="noL/QxwXowwIsmhnDgUdXg==" spinCount="100000" sheet="1" objects="1" scenarios="1"/>
  <mergeCells count="4">
    <mergeCell ref="A23:D23"/>
    <mergeCell ref="A33:D33"/>
    <mergeCell ref="A3:D3"/>
    <mergeCell ref="A13:D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7348-B4D0-4A1A-82E7-8F73C58E8D1D}">
  <dimension ref="A2:E81"/>
  <sheetViews>
    <sheetView showGridLines="0" tabSelected="1" workbookViewId="0">
      <selection activeCell="D8" sqref="D8"/>
    </sheetView>
  </sheetViews>
  <sheetFormatPr defaultRowHeight="15" x14ac:dyDescent="0.25"/>
  <cols>
    <col min="1" max="1" width="2.7109375" customWidth="1"/>
    <col min="2" max="5" width="45.7109375" customWidth="1"/>
  </cols>
  <sheetData>
    <row r="2" spans="1:5" ht="27" thickBot="1" x14ac:dyDescent="0.45">
      <c r="B2" s="3" t="s">
        <v>27</v>
      </c>
    </row>
    <row r="3" spans="1:5" ht="21" x14ac:dyDescent="0.35">
      <c r="A3" s="67"/>
      <c r="B3" s="68" t="s">
        <v>37</v>
      </c>
      <c r="C3" s="69"/>
      <c r="D3" s="69"/>
      <c r="E3" s="70"/>
    </row>
    <row r="4" spans="1:5" ht="15.75" x14ac:dyDescent="0.25">
      <c r="A4" s="71"/>
      <c r="B4" s="20" t="s">
        <v>35</v>
      </c>
      <c r="C4" s="19"/>
      <c r="D4" s="19"/>
      <c r="E4" s="72"/>
    </row>
    <row r="5" spans="1:5" x14ac:dyDescent="0.25">
      <c r="A5" s="71"/>
      <c r="B5" s="27" t="s">
        <v>38</v>
      </c>
      <c r="C5" s="27" t="s">
        <v>39</v>
      </c>
      <c r="D5" s="27" t="s">
        <v>42</v>
      </c>
      <c r="E5" s="73" t="s">
        <v>40</v>
      </c>
    </row>
    <row r="6" spans="1:5" x14ac:dyDescent="0.25">
      <c r="A6" s="74" cm="1">
        <f t="array" ref="A6:A8">IFERROR(_xlfn.SEQUENCE(MIN(COUNTA(B6:B12),7)),"")</f>
        <v>1</v>
      </c>
      <c r="B6" s="28" t="s">
        <v>98</v>
      </c>
      <c r="C6" s="28" t="s">
        <v>99</v>
      </c>
      <c r="D6" s="28" t="s">
        <v>100</v>
      </c>
      <c r="E6" s="75" t="s">
        <v>101</v>
      </c>
    </row>
    <row r="7" spans="1:5" x14ac:dyDescent="0.25">
      <c r="A7" s="74">
        <v>2</v>
      </c>
      <c r="B7" s="29" t="s">
        <v>102</v>
      </c>
      <c r="C7" s="29" t="s">
        <v>103</v>
      </c>
      <c r="D7" s="29" t="s">
        <v>104</v>
      </c>
      <c r="E7" s="76" t="s">
        <v>105</v>
      </c>
    </row>
    <row r="8" spans="1:5" x14ac:dyDescent="0.25">
      <c r="A8" s="74">
        <v>3</v>
      </c>
      <c r="B8" s="29" t="s">
        <v>106</v>
      </c>
      <c r="C8" s="29" t="s">
        <v>107</v>
      </c>
      <c r="D8" s="29"/>
      <c r="E8" s="76"/>
    </row>
    <row r="9" spans="1:5" x14ac:dyDescent="0.25">
      <c r="A9" s="74"/>
      <c r="B9" s="29"/>
      <c r="C9" s="29"/>
      <c r="D9" s="29"/>
      <c r="E9" s="76"/>
    </row>
    <row r="10" spans="1:5" x14ac:dyDescent="0.25">
      <c r="A10" s="74"/>
      <c r="B10" s="29"/>
      <c r="C10" s="29"/>
      <c r="D10" s="29"/>
      <c r="E10" s="76"/>
    </row>
    <row r="11" spans="1:5" x14ac:dyDescent="0.25">
      <c r="A11" s="74"/>
      <c r="B11" s="29"/>
      <c r="C11" s="29"/>
      <c r="D11" s="29"/>
      <c r="E11" s="76"/>
    </row>
    <row r="12" spans="1:5" x14ac:dyDescent="0.25">
      <c r="A12" s="74"/>
      <c r="B12" s="30"/>
      <c r="C12" s="30"/>
      <c r="D12" s="30"/>
      <c r="E12" s="77"/>
    </row>
    <row r="13" spans="1:5" ht="15.75" x14ac:dyDescent="0.25">
      <c r="A13" s="71"/>
      <c r="B13" s="20" t="s">
        <v>36</v>
      </c>
      <c r="C13" s="19"/>
      <c r="D13" s="19"/>
      <c r="E13" s="72"/>
    </row>
    <row r="14" spans="1:5" x14ac:dyDescent="0.25">
      <c r="A14" s="71"/>
      <c r="B14" s="27" t="s">
        <v>15</v>
      </c>
      <c r="C14" s="27" t="s">
        <v>39</v>
      </c>
      <c r="D14" s="27" t="s">
        <v>42</v>
      </c>
      <c r="E14" s="73" t="s">
        <v>41</v>
      </c>
    </row>
    <row r="15" spans="1:5" x14ac:dyDescent="0.25">
      <c r="A15" s="74" t="str" cm="1">
        <f t="array" ref="A15">IFERROR(_xlfn.SEQUENCE(MIN(COUNTA(B15:B21),7)),"")</f>
        <v/>
      </c>
      <c r="B15" s="28"/>
      <c r="C15" s="28"/>
      <c r="D15" s="28"/>
      <c r="E15" s="75"/>
    </row>
    <row r="16" spans="1:5" x14ac:dyDescent="0.25">
      <c r="A16" s="74"/>
      <c r="B16" s="29"/>
      <c r="C16" s="29"/>
      <c r="D16" s="29"/>
      <c r="E16" s="76"/>
    </row>
    <row r="17" spans="1:5" x14ac:dyDescent="0.25">
      <c r="A17" s="74"/>
      <c r="B17" s="29"/>
      <c r="C17" s="29"/>
      <c r="D17" s="29"/>
      <c r="E17" s="76"/>
    </row>
    <row r="18" spans="1:5" x14ac:dyDescent="0.25">
      <c r="A18" s="74"/>
      <c r="B18" s="29"/>
      <c r="C18" s="29"/>
      <c r="D18" s="29"/>
      <c r="E18" s="76"/>
    </row>
    <row r="19" spans="1:5" x14ac:dyDescent="0.25">
      <c r="A19" s="74"/>
      <c r="B19" s="29"/>
      <c r="C19" s="29"/>
      <c r="D19" s="29"/>
      <c r="E19" s="76"/>
    </row>
    <row r="20" spans="1:5" x14ac:dyDescent="0.25">
      <c r="A20" s="74"/>
      <c r="B20" s="29"/>
      <c r="C20" s="29"/>
      <c r="D20" s="29"/>
      <c r="E20" s="76"/>
    </row>
    <row r="21" spans="1:5" ht="15.75" thickBot="1" x14ac:dyDescent="0.3">
      <c r="A21" s="78"/>
      <c r="B21" s="79"/>
      <c r="C21" s="79"/>
      <c r="D21" s="79"/>
      <c r="E21" s="80"/>
    </row>
    <row r="22" spans="1:5" ht="15.75" thickBot="1" x14ac:dyDescent="0.3"/>
    <row r="23" spans="1:5" ht="21" x14ac:dyDescent="0.35">
      <c r="A23" s="53"/>
      <c r="B23" s="54" t="s">
        <v>49</v>
      </c>
      <c r="C23" s="55"/>
      <c r="D23" s="55"/>
      <c r="E23" s="56"/>
    </row>
    <row r="24" spans="1:5" ht="15.75" x14ac:dyDescent="0.25">
      <c r="A24" s="57"/>
      <c r="B24" s="21" t="s">
        <v>35</v>
      </c>
      <c r="C24" s="22"/>
      <c r="D24" s="22"/>
      <c r="E24" s="58"/>
    </row>
    <row r="25" spans="1:5" x14ac:dyDescent="0.25">
      <c r="A25" s="57"/>
      <c r="B25" s="31" t="s">
        <v>38</v>
      </c>
      <c r="C25" s="31" t="s">
        <v>39</v>
      </c>
      <c r="D25" s="31" t="s">
        <v>42</v>
      </c>
      <c r="E25" s="59" t="s">
        <v>40</v>
      </c>
    </row>
    <row r="26" spans="1:5" x14ac:dyDescent="0.25">
      <c r="A26" s="60" t="str" cm="1">
        <f t="array" ref="A26">IFERROR(_xlfn.SEQUENCE(MIN(COUNTA(B26:B32),7)),"")</f>
        <v/>
      </c>
      <c r="B26" s="32"/>
      <c r="C26" s="32"/>
      <c r="D26" s="32"/>
      <c r="E26" s="61"/>
    </row>
    <row r="27" spans="1:5" x14ac:dyDescent="0.25">
      <c r="A27" s="60"/>
      <c r="B27" s="33"/>
      <c r="C27" s="33"/>
      <c r="D27" s="33"/>
      <c r="E27" s="62"/>
    </row>
    <row r="28" spans="1:5" x14ac:dyDescent="0.25">
      <c r="A28" s="60"/>
      <c r="B28" s="33"/>
      <c r="C28" s="33"/>
      <c r="D28" s="33"/>
      <c r="E28" s="62"/>
    </row>
    <row r="29" spans="1:5" x14ac:dyDescent="0.25">
      <c r="A29" s="60"/>
      <c r="B29" s="33"/>
      <c r="C29" s="33"/>
      <c r="D29" s="33"/>
      <c r="E29" s="62"/>
    </row>
    <row r="30" spans="1:5" x14ac:dyDescent="0.25">
      <c r="A30" s="60"/>
      <c r="B30" s="33"/>
      <c r="C30" s="33"/>
      <c r="D30" s="33"/>
      <c r="E30" s="62"/>
    </row>
    <row r="31" spans="1:5" x14ac:dyDescent="0.25">
      <c r="A31" s="60"/>
      <c r="B31" s="33"/>
      <c r="C31" s="33"/>
      <c r="D31" s="33"/>
      <c r="E31" s="62"/>
    </row>
    <row r="32" spans="1:5" x14ac:dyDescent="0.25">
      <c r="A32" s="60"/>
      <c r="B32" s="34"/>
      <c r="C32" s="34"/>
      <c r="D32" s="34"/>
      <c r="E32" s="63"/>
    </row>
    <row r="33" spans="1:5" ht="15.75" x14ac:dyDescent="0.25">
      <c r="A33" s="57"/>
      <c r="B33" s="21" t="s">
        <v>36</v>
      </c>
      <c r="C33" s="22"/>
      <c r="D33" s="22"/>
      <c r="E33" s="58"/>
    </row>
    <row r="34" spans="1:5" x14ac:dyDescent="0.25">
      <c r="A34" s="57"/>
      <c r="B34" s="31" t="s">
        <v>15</v>
      </c>
      <c r="C34" s="31" t="s">
        <v>39</v>
      </c>
      <c r="D34" s="31" t="s">
        <v>42</v>
      </c>
      <c r="E34" s="59" t="s">
        <v>41</v>
      </c>
    </row>
    <row r="35" spans="1:5" x14ac:dyDescent="0.25">
      <c r="A35" s="60" t="str" cm="1">
        <f t="array" ref="A35">IFERROR(_xlfn.SEQUENCE(MIN(COUNTA(B35:B41),7)),"")</f>
        <v/>
      </c>
      <c r="B35" s="32"/>
      <c r="C35" s="32"/>
      <c r="D35" s="32"/>
      <c r="E35" s="61"/>
    </row>
    <row r="36" spans="1:5" x14ac:dyDescent="0.25">
      <c r="A36" s="60"/>
      <c r="B36" s="33"/>
      <c r="C36" s="33"/>
      <c r="D36" s="33"/>
      <c r="E36" s="62"/>
    </row>
    <row r="37" spans="1:5" x14ac:dyDescent="0.25">
      <c r="A37" s="60"/>
      <c r="B37" s="33"/>
      <c r="C37" s="33"/>
      <c r="D37" s="33"/>
      <c r="E37" s="62"/>
    </row>
    <row r="38" spans="1:5" x14ac:dyDescent="0.25">
      <c r="A38" s="60"/>
      <c r="B38" s="33"/>
      <c r="C38" s="33"/>
      <c r="D38" s="33"/>
      <c r="E38" s="62"/>
    </row>
    <row r="39" spans="1:5" x14ac:dyDescent="0.25">
      <c r="A39" s="60"/>
      <c r="B39" s="33"/>
      <c r="C39" s="33"/>
      <c r="D39" s="33"/>
      <c r="E39" s="62"/>
    </row>
    <row r="40" spans="1:5" x14ac:dyDescent="0.25">
      <c r="A40" s="60"/>
      <c r="B40" s="33"/>
      <c r="C40" s="33"/>
      <c r="D40" s="33"/>
      <c r="E40" s="62"/>
    </row>
    <row r="41" spans="1:5" ht="15.75" thickBot="1" x14ac:dyDescent="0.3">
      <c r="A41" s="64"/>
      <c r="B41" s="65"/>
      <c r="C41" s="65"/>
      <c r="D41" s="65"/>
      <c r="E41" s="66"/>
    </row>
    <row r="42" spans="1:5" ht="15.75" thickBot="1" x14ac:dyDescent="0.3"/>
    <row r="43" spans="1:5" ht="21" x14ac:dyDescent="0.35">
      <c r="A43" s="39"/>
      <c r="B43" s="40" t="s">
        <v>43</v>
      </c>
      <c r="C43" s="41"/>
      <c r="D43" s="41"/>
      <c r="E43" s="42"/>
    </row>
    <row r="44" spans="1:5" ht="15.75" x14ac:dyDescent="0.25">
      <c r="A44" s="43"/>
      <c r="B44" s="23" t="s">
        <v>35</v>
      </c>
      <c r="C44" s="24"/>
      <c r="D44" s="24"/>
      <c r="E44" s="44"/>
    </row>
    <row r="45" spans="1:5" x14ac:dyDescent="0.25">
      <c r="A45" s="43"/>
      <c r="B45" s="35" t="s">
        <v>38</v>
      </c>
      <c r="C45" s="35" t="s">
        <v>39</v>
      </c>
      <c r="D45" s="35" t="s">
        <v>42</v>
      </c>
      <c r="E45" s="45" t="s">
        <v>40</v>
      </c>
    </row>
    <row r="46" spans="1:5" x14ac:dyDescent="0.25">
      <c r="A46" s="46" cm="1">
        <f t="array" ref="A46:A47">IFERROR(_xlfn.SEQUENCE(MIN(COUNTA(B46:B52),7)),"")</f>
        <v>1</v>
      </c>
      <c r="B46" s="36" t="s">
        <v>23</v>
      </c>
      <c r="C46" s="36"/>
      <c r="D46" s="36"/>
      <c r="E46" s="47"/>
    </row>
    <row r="47" spans="1:5" x14ac:dyDescent="0.25">
      <c r="A47" s="46">
        <v>2</v>
      </c>
      <c r="B47" s="37" t="s">
        <v>45</v>
      </c>
      <c r="C47" s="37"/>
      <c r="D47" s="37"/>
      <c r="E47" s="48"/>
    </row>
    <row r="48" spans="1:5" x14ac:dyDescent="0.25">
      <c r="A48" s="46"/>
      <c r="B48" s="37"/>
      <c r="C48" s="37"/>
      <c r="D48" s="37"/>
      <c r="E48" s="48"/>
    </row>
    <row r="49" spans="1:5" x14ac:dyDescent="0.25">
      <c r="A49" s="46"/>
      <c r="B49" s="37"/>
      <c r="C49" s="37"/>
      <c r="D49" s="37"/>
      <c r="E49" s="48"/>
    </row>
    <row r="50" spans="1:5" x14ac:dyDescent="0.25">
      <c r="A50" s="46"/>
      <c r="B50" s="37"/>
      <c r="C50" s="37"/>
      <c r="D50" s="37"/>
      <c r="E50" s="48"/>
    </row>
    <row r="51" spans="1:5" x14ac:dyDescent="0.25">
      <c r="A51" s="46"/>
      <c r="B51" s="37"/>
      <c r="C51" s="37"/>
      <c r="D51" s="37"/>
      <c r="E51" s="48"/>
    </row>
    <row r="52" spans="1:5" x14ac:dyDescent="0.25">
      <c r="A52" s="46"/>
      <c r="B52" s="38"/>
      <c r="C52" s="38"/>
      <c r="D52" s="38"/>
      <c r="E52" s="49"/>
    </row>
    <row r="53" spans="1:5" ht="15.75" x14ac:dyDescent="0.25">
      <c r="A53" s="43"/>
      <c r="B53" s="23" t="s">
        <v>36</v>
      </c>
      <c r="C53" s="24"/>
      <c r="D53" s="24"/>
      <c r="E53" s="44"/>
    </row>
    <row r="54" spans="1:5" x14ac:dyDescent="0.25">
      <c r="A54" s="43"/>
      <c r="B54" s="35" t="s">
        <v>15</v>
      </c>
      <c r="C54" s="35" t="s">
        <v>39</v>
      </c>
      <c r="D54" s="35" t="s">
        <v>42</v>
      </c>
      <c r="E54" s="45" t="s">
        <v>41</v>
      </c>
    </row>
    <row r="55" spans="1:5" x14ac:dyDescent="0.25">
      <c r="A55" s="46" t="str" cm="1">
        <f t="array" ref="A55">IFERROR(_xlfn.SEQUENCE(MIN(COUNTA(B55:B61),7)),"")</f>
        <v/>
      </c>
      <c r="B55" s="36"/>
      <c r="C55" s="36"/>
      <c r="D55" s="36"/>
      <c r="E55" s="47"/>
    </row>
    <row r="56" spans="1:5" x14ac:dyDescent="0.25">
      <c r="A56" s="46"/>
      <c r="B56" s="37"/>
      <c r="C56" s="37"/>
      <c r="D56" s="37"/>
      <c r="E56" s="48"/>
    </row>
    <row r="57" spans="1:5" x14ac:dyDescent="0.25">
      <c r="A57" s="46"/>
      <c r="B57" s="37"/>
      <c r="C57" s="37"/>
      <c r="D57" s="37"/>
      <c r="E57" s="48"/>
    </row>
    <row r="58" spans="1:5" x14ac:dyDescent="0.25">
      <c r="A58" s="46"/>
      <c r="B58" s="37"/>
      <c r="C58" s="37"/>
      <c r="D58" s="37"/>
      <c r="E58" s="48"/>
    </row>
    <row r="59" spans="1:5" x14ac:dyDescent="0.25">
      <c r="A59" s="46"/>
      <c r="B59" s="37"/>
      <c r="C59" s="37"/>
      <c r="D59" s="37"/>
      <c r="E59" s="48"/>
    </row>
    <row r="60" spans="1:5" x14ac:dyDescent="0.25">
      <c r="A60" s="46"/>
      <c r="B60" s="37"/>
      <c r="C60" s="37"/>
      <c r="D60" s="37"/>
      <c r="E60" s="48"/>
    </row>
    <row r="61" spans="1:5" ht="15.75" thickBot="1" x14ac:dyDescent="0.3">
      <c r="A61" s="50"/>
      <c r="B61" s="51"/>
      <c r="C61" s="51"/>
      <c r="D61" s="51"/>
      <c r="E61" s="52"/>
    </row>
    <row r="62" spans="1:5" ht="15.75" thickBot="1" x14ac:dyDescent="0.3"/>
    <row r="63" spans="1:5" ht="21" x14ac:dyDescent="0.35">
      <c r="A63" s="131"/>
      <c r="B63" s="132" t="s">
        <v>46</v>
      </c>
      <c r="C63" s="133"/>
      <c r="D63" s="133"/>
      <c r="E63" s="134"/>
    </row>
    <row r="64" spans="1:5" ht="15.75" x14ac:dyDescent="0.25">
      <c r="A64" s="135"/>
      <c r="B64" s="136" t="s">
        <v>35</v>
      </c>
      <c r="C64" s="137"/>
      <c r="D64" s="137"/>
      <c r="E64" s="138"/>
    </row>
    <row r="65" spans="1:5" x14ac:dyDescent="0.25">
      <c r="A65" s="135"/>
      <c r="B65" s="139" t="s">
        <v>38</v>
      </c>
      <c r="C65" s="139" t="s">
        <v>39</v>
      </c>
      <c r="D65" s="139" t="s">
        <v>42</v>
      </c>
      <c r="E65" s="140" t="s">
        <v>40</v>
      </c>
    </row>
    <row r="66" spans="1:5" x14ac:dyDescent="0.25">
      <c r="A66" s="141" cm="1">
        <f t="array" ref="A66:A67">IFERROR(_xlfn.SEQUENCE(MIN(COUNTA(B66:B72),7)),"")</f>
        <v>1</v>
      </c>
      <c r="B66" s="142" t="s">
        <v>23</v>
      </c>
      <c r="C66" s="142"/>
      <c r="D66" s="142"/>
      <c r="E66" s="143"/>
    </row>
    <row r="67" spans="1:5" x14ac:dyDescent="0.25">
      <c r="A67" s="141">
        <v>2</v>
      </c>
      <c r="B67" s="144" t="s">
        <v>45</v>
      </c>
      <c r="C67" s="144"/>
      <c r="D67" s="144"/>
      <c r="E67" s="145"/>
    </row>
    <row r="68" spans="1:5" x14ac:dyDescent="0.25">
      <c r="A68" s="141"/>
      <c r="B68" s="144"/>
      <c r="C68" s="144"/>
      <c r="D68" s="144"/>
      <c r="E68" s="145"/>
    </row>
    <row r="69" spans="1:5" x14ac:dyDescent="0.25">
      <c r="A69" s="141"/>
      <c r="B69" s="144"/>
      <c r="C69" s="144"/>
      <c r="D69" s="144"/>
      <c r="E69" s="145"/>
    </row>
    <row r="70" spans="1:5" x14ac:dyDescent="0.25">
      <c r="A70" s="141"/>
      <c r="B70" s="144"/>
      <c r="C70" s="144"/>
      <c r="D70" s="144"/>
      <c r="E70" s="145"/>
    </row>
    <row r="71" spans="1:5" x14ac:dyDescent="0.25">
      <c r="A71" s="141"/>
      <c r="B71" s="144"/>
      <c r="C71" s="144"/>
      <c r="D71" s="144"/>
      <c r="E71" s="145"/>
    </row>
    <row r="72" spans="1:5" x14ac:dyDescent="0.25">
      <c r="A72" s="141"/>
      <c r="B72" s="146"/>
      <c r="C72" s="146"/>
      <c r="D72" s="146"/>
      <c r="E72" s="147"/>
    </row>
    <row r="73" spans="1:5" ht="15.75" x14ac:dyDescent="0.25">
      <c r="A73" s="135"/>
      <c r="B73" s="136" t="s">
        <v>36</v>
      </c>
      <c r="C73" s="137"/>
      <c r="D73" s="137"/>
      <c r="E73" s="138"/>
    </row>
    <row r="74" spans="1:5" x14ac:dyDescent="0.25">
      <c r="A74" s="135"/>
      <c r="B74" s="139" t="s">
        <v>15</v>
      </c>
      <c r="C74" s="139" t="s">
        <v>39</v>
      </c>
      <c r="D74" s="139" t="s">
        <v>42</v>
      </c>
      <c r="E74" s="140" t="s">
        <v>41</v>
      </c>
    </row>
    <row r="75" spans="1:5" x14ac:dyDescent="0.25">
      <c r="A75" s="141" t="str" cm="1">
        <f t="array" ref="A75">IFERROR(_xlfn.SEQUENCE(MIN(COUNTA(B75:B81),7)),"")</f>
        <v/>
      </c>
      <c r="B75" s="142"/>
      <c r="C75" s="142"/>
      <c r="D75" s="142"/>
      <c r="E75" s="143"/>
    </row>
    <row r="76" spans="1:5" x14ac:dyDescent="0.25">
      <c r="A76" s="141"/>
      <c r="B76" s="144"/>
      <c r="C76" s="144"/>
      <c r="D76" s="144"/>
      <c r="E76" s="145"/>
    </row>
    <row r="77" spans="1:5" x14ac:dyDescent="0.25">
      <c r="A77" s="141"/>
      <c r="B77" s="144"/>
      <c r="C77" s="144"/>
      <c r="D77" s="144"/>
      <c r="E77" s="145"/>
    </row>
    <row r="78" spans="1:5" x14ac:dyDescent="0.25">
      <c r="A78" s="141"/>
      <c r="B78" s="144"/>
      <c r="C78" s="144"/>
      <c r="D78" s="144"/>
      <c r="E78" s="145"/>
    </row>
    <row r="79" spans="1:5" x14ac:dyDescent="0.25">
      <c r="A79" s="141"/>
      <c r="B79" s="144"/>
      <c r="C79" s="144"/>
      <c r="D79" s="144"/>
      <c r="E79" s="145"/>
    </row>
    <row r="80" spans="1:5" x14ac:dyDescent="0.25">
      <c r="A80" s="141"/>
      <c r="B80" s="144"/>
      <c r="C80" s="144"/>
      <c r="D80" s="144"/>
      <c r="E80" s="145"/>
    </row>
    <row r="81" spans="1:5" ht="15.75" thickBot="1" x14ac:dyDescent="0.3">
      <c r="A81" s="148"/>
      <c r="B81" s="149"/>
      <c r="C81" s="149"/>
      <c r="D81" s="149"/>
      <c r="E81" s="150"/>
    </row>
  </sheetData>
  <sheetProtection algorithmName="SHA-512" hashValue="RPYQE8ABqaW5BVryYJf/uib8vTuofKfsY+H/pYHGH8yq5w94pXLW2m1H5kAhhNxCta9MQ+8jl2i9m4t38VSm8w==" saltValue="OJD8HaUMJBSH4xrHtakqIA=="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Drops</vt:lpstr>
      <vt:lpstr>Instructions</vt:lpstr>
      <vt:lpstr>Goals</vt:lpstr>
      <vt:lpstr>Pipeline</vt:lpstr>
      <vt:lpstr>TOP 20 Customers</vt:lpstr>
      <vt:lpstr>Last Week Next Week</vt:lpstr>
      <vt:lpstr>Delivery </vt:lpstr>
      <vt:lpstr>Business Development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Kurt Sobotka</dc:creator>
  <cp:keywords/>
  <dc:description/>
  <cp:lastModifiedBy>George Maranville</cp:lastModifiedBy>
  <cp:revision/>
  <cp:lastPrinted>2021-11-22T14:19:00Z</cp:lastPrinted>
  <dcterms:created xsi:type="dcterms:W3CDTF">2015-03-31T15:10:40Z</dcterms:created>
  <dcterms:modified xsi:type="dcterms:W3CDTF">2026-01-19T20:20:21Z</dcterms:modified>
  <cp:category/>
  <cp:contentStatus/>
</cp:coreProperties>
</file>